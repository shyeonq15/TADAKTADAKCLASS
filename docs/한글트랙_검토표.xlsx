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요약" sheetId="2" state="visible" r:id="rId4"/>
    <sheet name="전체 지문" sheetId="3" state="visible" r:id="rId5"/>
  </sheets>
  <definedNames>
    <definedName function="false" hidden="true" localSheetId="2" name="_xlnm._FilterDatabase" vbProcedure="false">'전체 지문'!$A$1:$Q$370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<sst xmlns="http://schemas.openxmlformats.org/spreadsheetml/2006/main" count="2673" uniqueCount="966">
  <si>
    <r>
      <rPr>
        <b val="true"/>
        <sz val="14"/>
        <color rgb="FF16205C"/>
        <rFont val="Noto Sans CJK SC"/>
        <family val="2"/>
      </rPr>
      <t xml:space="preserve">타닥타닥 우리반 </t>
    </r>
    <r>
      <rPr>
        <b val="true"/>
        <sz val="14"/>
        <color rgb="FF16205C"/>
        <rFont val="Malgun Gothic"/>
        <family val="0"/>
        <charset val="1"/>
      </rPr>
      <t xml:space="preserve">· </t>
    </r>
    <r>
      <rPr>
        <b val="true"/>
        <sz val="14"/>
        <color rgb="FF16205C"/>
        <rFont val="Noto Sans CJK SC"/>
        <family val="2"/>
      </rPr>
      <t xml:space="preserve">한글 트랙 연습팩 검토표</t>
    </r>
  </si>
  <si>
    <t xml:space="preserve">이 표로 하는 일</t>
  </si>
  <si>
    <r>
      <rPr>
        <sz val="11"/>
        <rFont val="Malgun Gothic"/>
        <family val="0"/>
        <charset val="1"/>
      </rPr>
      <t xml:space="preserve">[</t>
    </r>
    <r>
      <rPr>
        <sz val="11"/>
        <rFont val="Noto Sans CJK SC"/>
        <family val="2"/>
      </rPr>
      <t xml:space="preserve">전체 지문</t>
    </r>
    <r>
      <rPr>
        <sz val="11"/>
        <rFont val="Malgun Gothic"/>
        <family val="0"/>
        <charset val="1"/>
      </rPr>
      <t xml:space="preserve">] </t>
    </r>
    <r>
      <rPr>
        <sz val="11"/>
        <rFont val="Noto Sans CJK SC"/>
        <family val="2"/>
      </rPr>
      <t xml:space="preserve">시트에서 각 지문을 읽고 </t>
    </r>
    <r>
      <rPr>
        <sz val="11"/>
        <rFont val="Malgun Gothic"/>
        <family val="0"/>
        <charset val="1"/>
      </rPr>
      <t xml:space="preserve">[</t>
    </r>
    <r>
      <rPr>
        <sz val="11"/>
        <rFont val="Noto Sans CJK SC"/>
        <family val="2"/>
      </rPr>
      <t xml:space="preserve">사용 여부</t>
    </r>
    <r>
      <rPr>
        <sz val="11"/>
        <rFont val="Malgun Gothic"/>
        <family val="0"/>
        <charset val="1"/>
      </rPr>
      <t xml:space="preserve">] </t>
    </r>
    <r>
      <rPr>
        <sz val="11"/>
        <rFont val="Noto Sans CJK SC"/>
        <family val="2"/>
      </rPr>
      <t xml:space="preserve">칸에서 사용 </t>
    </r>
    <r>
      <rPr>
        <sz val="11"/>
        <rFont val="Malgun Gothic"/>
        <family val="0"/>
        <charset val="1"/>
      </rPr>
      <t xml:space="preserve">/ </t>
    </r>
    <r>
      <rPr>
        <sz val="11"/>
        <rFont val="Noto Sans CJK SC"/>
        <family val="2"/>
      </rPr>
      <t xml:space="preserve">빼기 </t>
    </r>
    <r>
      <rPr>
        <sz val="11"/>
        <rFont val="Malgun Gothic"/>
        <family val="0"/>
        <charset val="1"/>
      </rPr>
      <t xml:space="preserve">/ </t>
    </r>
    <r>
      <rPr>
        <sz val="11"/>
        <rFont val="Noto Sans CJK SC"/>
        <family val="2"/>
      </rPr>
      <t xml:space="preserve">고쳐서 사용 중 하나를 고르세요</t>
    </r>
    <r>
      <rPr>
        <sz val="11"/>
        <rFont val="Malgun Gothic"/>
        <family val="0"/>
        <charset val="1"/>
      </rPr>
      <t xml:space="preserve">. </t>
    </r>
    <r>
      <rPr>
        <sz val="11"/>
        <rFont val="Noto Sans CJK SC"/>
        <family val="2"/>
      </rPr>
      <t xml:space="preserve">노란 칸만 선생님이 입력하는 칸이에요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</si>
  <si>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고쳐서 사용을 고르면 </t>
    </r>
    <r>
      <rPr>
        <sz val="11"/>
        <rFont val="Malgun Gothic"/>
        <family val="0"/>
        <charset val="1"/>
      </rPr>
      <t xml:space="preserve">[</t>
    </r>
    <r>
      <rPr>
        <sz val="11"/>
        <rFont val="Noto Sans CJK SC"/>
        <family val="2"/>
      </rPr>
      <t xml:space="preserve">선생님 메모</t>
    </r>
    <r>
      <rPr>
        <sz val="11"/>
        <rFont val="Malgun Gothic"/>
        <family val="0"/>
        <charset val="1"/>
      </rPr>
      <t xml:space="preserve">] </t>
    </r>
    <r>
      <rPr>
        <sz val="11"/>
        <rFont val="Noto Sans CJK SC"/>
        <family val="2"/>
      </rPr>
      <t xml:space="preserve">칸에 바꿀 문장을 적어 주세요</t>
    </r>
    <r>
      <rPr>
        <sz val="11"/>
        <rFont val="Malgun Gothic"/>
        <family val="0"/>
        <charset val="1"/>
      </rPr>
      <t xml:space="preserve">. </t>
    </r>
    <r>
      <rPr>
        <sz val="11"/>
        <rFont val="Noto Sans CJK SC"/>
        <family val="2"/>
      </rPr>
      <t xml:space="preserve">이 파일을 </t>
    </r>
    <r>
      <rPr>
        <sz val="11"/>
        <rFont val="Malgun Gothic"/>
        <family val="0"/>
        <charset val="1"/>
      </rPr>
      <t xml:space="preserve">Claude</t>
    </r>
    <r>
      <rPr>
        <sz val="11"/>
        <rFont val="Noto Sans CJK SC"/>
        <family val="2"/>
      </rPr>
      <t xml:space="preserve">에게 주면 </t>
    </r>
    <r>
      <rPr>
        <sz val="11"/>
        <rFont val="Malgun Gothic"/>
        <family val="0"/>
        <charset val="1"/>
      </rPr>
      <t xml:space="preserve">JSON</t>
    </r>
    <r>
      <rPr>
        <sz val="11"/>
        <rFont val="Noto Sans CJK SC"/>
        <family val="2"/>
      </rPr>
      <t xml:space="preserve">에 반영해요</t>
    </r>
    <r>
      <rPr>
        <sz val="11"/>
        <rFont val="Malgun Gothic"/>
        <family val="0"/>
        <charset val="1"/>
      </rPr>
      <t xml:space="preserve">.</t>
    </r>
  </si>
  <si>
    <t xml:space="preserve">열 설명</t>
  </si>
  <si>
    <t xml:space="preserve">ID</t>
  </si>
  <si>
    <r>
      <rPr>
        <sz val="11"/>
        <rFont val="Noto Sans CJK SC"/>
        <family val="2"/>
      </rPr>
      <t xml:space="preserve">플랫폼에서 쓰는 지문 번호 </t>
    </r>
    <r>
      <rPr>
        <sz val="11"/>
        <rFont val="Malgun Gothic"/>
        <family val="0"/>
        <charset val="1"/>
      </rPr>
      <t xml:space="preserve">(ko-</t>
    </r>
    <r>
      <rPr>
        <sz val="11"/>
        <rFont val="Noto Sans CJK SC"/>
        <family val="2"/>
      </rPr>
      <t xml:space="preserve">티어</t>
    </r>
    <r>
      <rPr>
        <sz val="11"/>
        <rFont val="Malgun Gothic"/>
        <family val="0"/>
        <charset val="1"/>
      </rPr>
      <t xml:space="preserve">-</t>
    </r>
    <r>
      <rPr>
        <sz val="11"/>
        <rFont val="Noto Sans CJK SC"/>
        <family val="2"/>
      </rPr>
      <t xml:space="preserve">단계</t>
    </r>
    <r>
      <rPr>
        <sz val="11"/>
        <rFont val="Malgun Gothic"/>
        <family val="0"/>
        <charset val="1"/>
      </rPr>
      <t xml:space="preserve">-</t>
    </r>
    <r>
      <rPr>
        <sz val="11"/>
        <rFont val="Noto Sans CJK SC"/>
        <family val="2"/>
      </rPr>
      <t xml:space="preserve">순번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</si>
  <si>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티어 </t>
    </r>
    <r>
      <rPr>
        <sz val="11"/>
        <rFont val="Malgun Gothic"/>
        <family val="0"/>
        <charset val="1"/>
      </rPr>
      <t xml:space="preserve">/ </t>
    </r>
    <r>
      <rPr>
        <sz val="11"/>
        <rFont val="Noto Sans CJK SC"/>
        <family val="2"/>
      </rPr>
      <t xml:space="preserve">단계</t>
    </r>
  </si>
  <si>
    <r>
      <rPr>
        <sz val="11"/>
        <rFont val="Noto Sans CJK SC"/>
        <family val="2"/>
      </rPr>
      <t xml:space="preserve">티어 안에서 타수가 적은 지문부터 </t>
    </r>
    <r>
      <rPr>
        <sz val="11"/>
        <rFont val="Malgun Gothic"/>
        <family val="0"/>
        <charset val="1"/>
      </rPr>
      <t xml:space="preserve">1→5</t>
    </r>
    <r>
      <rPr>
        <sz val="11"/>
        <rFont val="Noto Sans CJK SC"/>
        <family val="2"/>
      </rPr>
      <t xml:space="preserve">단계로 나눔</t>
    </r>
  </si>
  <si>
    <r>
      <rPr>
        <sz val="11"/>
        <rFont val="Noto Sans CJK SC"/>
        <family val="2"/>
      </rPr>
      <t xml:space="preserve">목표 타수 </t>
    </r>
    <r>
      <rPr>
        <sz val="11"/>
        <rFont val="Malgun Gothic"/>
        <family val="0"/>
        <charset val="1"/>
      </rPr>
      <t xml:space="preserve">/ </t>
    </r>
    <r>
      <rPr>
        <sz val="11"/>
        <rFont val="Noto Sans CJK SC"/>
        <family val="2"/>
      </rPr>
      <t xml:space="preserve">정확도</t>
    </r>
  </si>
  <si>
    <r>
      <rPr>
        <sz val="11"/>
        <rFont val="Noto Sans CJK SC"/>
        <family val="2"/>
      </rPr>
      <t xml:space="preserve">단계 통과 기준 </t>
    </r>
    <r>
      <rPr>
        <sz val="11"/>
        <rFont val="Malgun Gothic"/>
        <family val="0"/>
        <charset val="1"/>
      </rPr>
      <t xml:space="preserve">(CLAUDE.md 3-2, 1</t>
    </r>
    <r>
      <rPr>
        <sz val="11"/>
        <rFont val="Noto Sans CJK SC"/>
        <family val="2"/>
      </rPr>
      <t xml:space="preserve">번 넘으면 통과</t>
    </r>
    <r>
      <rPr>
        <sz val="11"/>
        <rFont val="Malgun Gothic"/>
        <family val="0"/>
        <charset val="1"/>
      </rPr>
      <t xml:space="preserve">)</t>
    </r>
  </si>
  <si>
    <t xml:space="preserve">타수</t>
  </si>
  <si>
    <r>
      <rPr>
        <sz val="11"/>
        <rFont val="Noto Sans CJK SC"/>
        <family val="2"/>
      </rPr>
      <t xml:space="preserve">두벌식으로 실제 누르는 키 수</t>
    </r>
    <r>
      <rPr>
        <sz val="11"/>
        <rFont val="Malgun Gothic"/>
        <family val="0"/>
        <charset val="1"/>
      </rPr>
      <t xml:space="preserve">. </t>
    </r>
    <r>
      <rPr>
        <sz val="11"/>
        <rFont val="Noto Sans CJK SC"/>
        <family val="2"/>
      </rPr>
      <t xml:space="preserve">겹모음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겹받침은 </t>
    </r>
    <r>
      <rPr>
        <sz val="11"/>
        <rFont val="Malgun Gothic"/>
        <family val="0"/>
        <charset val="1"/>
      </rPr>
      <t xml:space="preserve">2</t>
    </r>
    <r>
      <rPr>
        <sz val="11"/>
        <rFont val="Noto Sans CJK SC"/>
        <family val="2"/>
      </rPr>
      <t xml:space="preserve">타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쌍자음은 </t>
    </r>
    <r>
      <rPr>
        <sz val="11"/>
        <rFont val="Malgun Gothic"/>
        <family val="0"/>
        <charset val="1"/>
      </rPr>
      <t xml:space="preserve">Shift </t>
    </r>
    <r>
      <rPr>
        <sz val="11"/>
        <rFont val="Noto Sans CJK SC"/>
        <family val="2"/>
      </rPr>
      <t xml:space="preserve">포함 </t>
    </r>
    <r>
      <rPr>
        <sz val="11"/>
        <rFont val="Malgun Gothic"/>
        <family val="0"/>
        <charset val="1"/>
      </rPr>
      <t xml:space="preserve">1</t>
    </r>
    <r>
      <rPr>
        <sz val="11"/>
        <rFont val="Noto Sans CJK SC"/>
        <family val="2"/>
      </rPr>
      <t xml:space="preserve">타</t>
    </r>
  </si>
  <si>
    <r>
      <rPr>
        <sz val="11"/>
        <rFont val="Noto Sans CJK SC"/>
        <family val="2"/>
      </rPr>
      <t xml:space="preserve">예상 시간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초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</si>
  <si>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타수 </t>
    </r>
    <r>
      <rPr>
        <sz val="11"/>
        <rFont val="Malgun Gothic"/>
        <family val="0"/>
        <charset val="1"/>
      </rPr>
      <t xml:space="preserve">÷ </t>
    </r>
    <r>
      <rPr>
        <sz val="11"/>
        <rFont val="Noto Sans CJK SC"/>
        <family val="2"/>
      </rPr>
      <t xml:space="preserve">목표 타수 </t>
    </r>
    <r>
      <rPr>
        <sz val="11"/>
        <rFont val="Malgun Gothic"/>
        <family val="0"/>
        <charset val="1"/>
      </rPr>
      <t xml:space="preserve">× 60. </t>
    </r>
    <r>
      <rPr>
        <sz val="11"/>
        <rFont val="Noto Sans CJK SC"/>
        <family val="2"/>
      </rPr>
      <t xml:space="preserve">목표 속도로 쳤을 때 걸리는 시간</t>
    </r>
  </si>
  <si>
    <r>
      <rPr>
        <sz val="11"/>
        <rFont val="Noto Sans CJK SC"/>
        <family val="2"/>
      </rPr>
      <t xml:space="preserve">단원 </t>
    </r>
    <r>
      <rPr>
        <sz val="11"/>
        <rFont val="Malgun Gothic"/>
        <family val="0"/>
        <charset val="1"/>
      </rPr>
      <t xml:space="preserve">/ </t>
    </r>
    <r>
      <rPr>
        <sz val="11"/>
        <rFont val="Noto Sans CJK SC"/>
        <family val="2"/>
      </rPr>
      <t xml:space="preserve">쪽</t>
    </r>
  </si>
  <si>
    <r>
      <rPr>
        <sz val="11"/>
        <rFont val="Noto Sans CJK SC"/>
        <family val="2"/>
      </rPr>
      <t xml:space="preserve">교과서 출처 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브론즈는 자체 제작이라 비어 있음</t>
    </r>
    <r>
      <rPr>
        <sz val="11"/>
        <rFont val="Malgun Gothic"/>
        <family val="0"/>
        <charset val="1"/>
      </rPr>
      <t xml:space="preserve">)</t>
    </r>
  </si>
  <si>
    <t xml:space="preserve">고친 점</t>
  </si>
  <si>
    <r>
      <rPr>
        <sz val="11"/>
        <rFont val="Noto Sans CJK SC"/>
        <family val="2"/>
      </rPr>
      <t xml:space="preserve">원문에서 바꾼 부분</t>
    </r>
    <r>
      <rPr>
        <sz val="11"/>
        <rFont val="Malgun Gothic"/>
        <family val="0"/>
        <charset val="1"/>
      </rPr>
      <t xml:space="preserve">. </t>
    </r>
    <r>
      <rPr>
        <sz val="11"/>
        <rFont val="Noto Sans CJK SC"/>
        <family val="2"/>
      </rPr>
      <t xml:space="preserve">비어 있으면 교과서 문장 그대로</t>
    </r>
  </si>
  <si>
    <t xml:space="preserve">원문 일치율</t>
  </si>
  <si>
    <r>
      <rPr>
        <sz val="11"/>
        <rFont val="Noto Sans CJK SC"/>
        <family val="2"/>
      </rPr>
      <t xml:space="preserve">교과서 </t>
    </r>
    <r>
      <rPr>
        <sz val="11"/>
        <rFont val="Malgun Gothic"/>
        <family val="0"/>
        <charset val="1"/>
      </rPr>
      <t xml:space="preserve">PDF</t>
    </r>
    <r>
      <rPr>
        <sz val="11"/>
        <rFont val="Noto Sans CJK SC"/>
        <family val="2"/>
      </rPr>
      <t xml:space="preserve">와 글자를 대조한 비율</t>
    </r>
    <r>
      <rPr>
        <sz val="11"/>
        <rFont val="Malgun Gothic"/>
        <family val="0"/>
        <charset val="1"/>
      </rPr>
      <t xml:space="preserve">. 1.00</t>
    </r>
    <r>
      <rPr>
        <sz val="11"/>
        <rFont val="Noto Sans CJK SC"/>
        <family val="2"/>
      </rPr>
      <t xml:space="preserve">이면 교과서에 그대로 있음</t>
    </r>
  </si>
  <si>
    <r>
      <rPr>
        <b val="true"/>
        <sz val="11"/>
        <rFont val="Noto Sans CJK SC"/>
        <family val="2"/>
      </rPr>
      <t xml:space="preserve">예시 </t>
    </r>
    <r>
      <rPr>
        <b val="true"/>
        <sz val="11"/>
        <rFont val="Malgun Gothic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실제 행과 같은 형식</t>
    </r>
    <r>
      <rPr>
        <b val="true"/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</si>
  <si>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ko-gold-1-01 · </t>
    </r>
    <r>
      <rPr>
        <sz val="11"/>
        <rFont val="Noto Sans CJK SC"/>
        <family val="2"/>
      </rPr>
      <t xml:space="preserve">골드 </t>
    </r>
    <r>
      <rPr>
        <sz val="11"/>
        <rFont val="Malgun Gothic"/>
        <family val="0"/>
        <charset val="1"/>
      </rPr>
      <t xml:space="preserve">1</t>
    </r>
    <r>
      <rPr>
        <sz val="11"/>
        <rFont val="Noto Sans CJK SC"/>
        <family val="2"/>
      </rPr>
      <t xml:space="preserve">단계 </t>
    </r>
    <r>
      <rPr>
        <sz val="11"/>
        <rFont val="Malgun Gothic"/>
        <family val="0"/>
        <charset val="1"/>
      </rPr>
      <t xml:space="preserve">· 155</t>
    </r>
    <r>
      <rPr>
        <sz val="11"/>
        <rFont val="Noto Sans CJK SC"/>
        <family val="2"/>
      </rPr>
      <t xml:space="preserve">타 </t>
    </r>
    <r>
      <rPr>
        <sz val="11"/>
        <rFont val="Malgun Gothic"/>
        <family val="0"/>
        <charset val="1"/>
      </rPr>
      <t xml:space="preserve">· "</t>
    </r>
    <r>
      <rPr>
        <sz val="11"/>
        <rFont val="Noto Sans CJK SC"/>
        <family val="2"/>
      </rPr>
      <t xml:space="preserve">문제는 해결해야 하는 일이나 과제를 말한다</t>
    </r>
    <r>
      <rPr>
        <sz val="11"/>
        <rFont val="Malgun Gothic"/>
        <family val="0"/>
        <charset val="1"/>
      </rPr>
      <t xml:space="preserve">." · p.81 · </t>
    </r>
    <r>
      <rPr>
        <sz val="11"/>
        <rFont val="Noto Sans CJK SC"/>
        <family val="2"/>
      </rPr>
      <t xml:space="preserve">사용 여부</t>
    </r>
    <r>
      <rPr>
        <sz val="11"/>
        <rFont val="Malgun Gothic"/>
        <family val="0"/>
        <charset val="1"/>
      </rPr>
      <t xml:space="preserve">: </t>
    </r>
    <r>
      <rPr>
        <sz val="11"/>
        <rFont val="Noto Sans CJK SC"/>
        <family val="2"/>
      </rPr>
      <t xml:space="preserve">사용</t>
    </r>
  </si>
  <si>
    <t xml:space="preserve">티어</t>
  </si>
  <si>
    <t xml:space="preserve">단계</t>
  </si>
  <si>
    <t xml:space="preserve">목표 타수</t>
  </si>
  <si>
    <t xml:space="preserve">지문 수</t>
  </si>
  <si>
    <r>
      <rPr>
        <b val="true"/>
        <sz val="11"/>
        <color rgb="FFFFFFFF"/>
        <rFont val="Noto Sans CJK SC"/>
        <family val="2"/>
      </rPr>
      <t xml:space="preserve">평균 예상 시간</t>
    </r>
    <r>
      <rPr>
        <b val="true"/>
        <sz val="11"/>
        <color rgb="FFFFFFFF"/>
        <rFont val="Malgun Gothic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Malgun Gothic"/>
        <family val="0"/>
        <charset val="1"/>
      </rPr>
      <t xml:space="preserve">)</t>
    </r>
  </si>
  <si>
    <t xml:space="preserve">사용</t>
  </si>
  <si>
    <t xml:space="preserve">빼기</t>
  </si>
  <si>
    <t xml:space="preserve">고쳐서 사용</t>
  </si>
  <si>
    <t xml:space="preserve">브론즈</t>
  </si>
  <si>
    <t xml:space="preserve">실버</t>
  </si>
  <si>
    <t xml:space="preserve">골드</t>
  </si>
  <si>
    <t xml:space="preserve">다이아</t>
  </si>
  <si>
    <t xml:space="preserve">마스터</t>
  </si>
  <si>
    <t xml:space="preserve">레전드</t>
  </si>
  <si>
    <t xml:space="preserve">합계</t>
  </si>
  <si>
    <r>
      <rPr>
        <b val="true"/>
        <sz val="11"/>
        <color rgb="FFFFFFFF"/>
        <rFont val="Noto Sans CJK SC"/>
        <family val="2"/>
      </rPr>
      <t xml:space="preserve">정확도</t>
    </r>
    <r>
      <rPr>
        <b val="true"/>
        <sz val="11"/>
        <color rgb="FFFFFFFF"/>
        <rFont val="Malgun Gothic"/>
        <family val="0"/>
        <charset val="1"/>
      </rPr>
      <t xml:space="preserve">(%)</t>
    </r>
  </si>
  <si>
    <t xml:space="preserve">글 종류</t>
  </si>
  <si>
    <t xml:space="preserve">제목</t>
  </si>
  <si>
    <t xml:space="preserve">지문</t>
  </si>
  <si>
    <t xml:space="preserve">글자 수</t>
  </si>
  <si>
    <r>
      <rPr>
        <b val="true"/>
        <sz val="11"/>
        <color rgb="FFFFFFFF"/>
        <rFont val="Noto Sans CJK SC"/>
        <family val="2"/>
      </rPr>
      <t xml:space="preserve">예상 시간</t>
    </r>
    <r>
      <rPr>
        <b val="true"/>
        <sz val="11"/>
        <color rgb="FFFFFFFF"/>
        <rFont val="Malgun Gothic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Malgun Gothic"/>
        <family val="0"/>
        <charset val="1"/>
      </rPr>
      <t xml:space="preserve">)</t>
    </r>
  </si>
  <si>
    <t xml:space="preserve">단원</t>
  </si>
  <si>
    <t xml:space="preserve">쪽</t>
  </si>
  <si>
    <t xml:space="preserve">사용 여부</t>
  </si>
  <si>
    <t xml:space="preserve">선생님 메모</t>
  </si>
  <si>
    <t xml:space="preserve">ko-bronze-1-01</t>
  </si>
  <si>
    <t xml:space="preserve">자리 연습</t>
  </si>
  <si>
    <t xml:space="preserve">아이 오이 나라 머리 허리</t>
  </si>
  <si>
    <t xml:space="preserve">ko-bronze-1-02</t>
  </si>
  <si>
    <t xml:space="preserve">하나 오리 마리 미나리 아리랑</t>
  </si>
  <si>
    <t xml:space="preserve">ko-bronze-1-03</t>
  </si>
  <si>
    <t xml:space="preserve">호랑이 호미 엄마 인어 노인</t>
  </si>
  <si>
    <t xml:space="preserve">ko-bronze-1-04</t>
  </si>
  <si>
    <t xml:space="preserve">나이 놀이 할머니 어린이 알림</t>
  </si>
  <si>
    <t xml:space="preserve">ko-bronze-1-05</t>
  </si>
  <si>
    <t xml:space="preserve">말 날 일 알 얼마 어림</t>
  </si>
  <si>
    <t xml:space="preserve">ko-bronze-1-06</t>
  </si>
  <si>
    <t xml:space="preserve">화로 외로이 왼 놀라 와</t>
  </si>
  <si>
    <t xml:space="preserve">ko-bronze-1-07</t>
  </si>
  <si>
    <t xml:space="preserve">노란 오리 날아 오나</t>
  </si>
  <si>
    <t xml:space="preserve">ko-bronze-1-08</t>
  </si>
  <si>
    <t xml:space="preserve">엄마 아이 놀이 할 일</t>
  </si>
  <si>
    <t xml:space="preserve">ko-bronze-1-09</t>
  </si>
  <si>
    <t xml:space="preserve">이리 와 하나 마리 놀이</t>
  </si>
  <si>
    <t xml:space="preserve">ko-bronze-1-10</t>
  </si>
  <si>
    <t xml:space="preserve">어머니 할머니 언니 아나 몰라</t>
  </si>
  <si>
    <t xml:space="preserve">ko-bronze-2-01</t>
  </si>
  <si>
    <t xml:space="preserve">바다 지도 고기 사자 개미</t>
  </si>
  <si>
    <t xml:space="preserve">ko-bronze-2-02</t>
  </si>
  <si>
    <t xml:space="preserve">가방 새 배 게 소리 가지</t>
  </si>
  <si>
    <t xml:space="preserve">ko-bronze-2-03</t>
  </si>
  <si>
    <t xml:space="preserve">요리 야자 바지 자석 여자</t>
  </si>
  <si>
    <t xml:space="preserve">ko-bronze-2-04</t>
  </si>
  <si>
    <t xml:space="preserve">학교 교실 선생님 기억 시간</t>
  </si>
  <si>
    <t xml:space="preserve">ko-bronze-2-05</t>
  </si>
  <si>
    <t xml:space="preserve">정보 자료 저장 장소 기기</t>
  </si>
  <si>
    <t xml:space="preserve">ko-bronze-2-06</t>
  </si>
  <si>
    <t xml:space="preserve">세상 사랑 행복 가게 시장</t>
  </si>
  <si>
    <t xml:space="preserve">ko-bronze-2-07</t>
  </si>
  <si>
    <t xml:space="preserve">강아지 고양이 병아리 송아지</t>
  </si>
  <si>
    <t xml:space="preserve">ko-bronze-2-08</t>
  </si>
  <si>
    <t xml:space="preserve">연산 정렬 검색 명령 변경</t>
  </si>
  <si>
    <t xml:space="preserve">ko-bronze-2-09</t>
  </si>
  <si>
    <t xml:space="preserve">여행 가방 비행기 배 자전거</t>
  </si>
  <si>
    <t xml:space="preserve">ko-bronze-2-10</t>
  </si>
  <si>
    <t xml:space="preserve">나비 개 소 양 염소 기린</t>
  </si>
  <si>
    <t xml:space="preserve">ko-bronze-3-01</t>
  </si>
  <si>
    <t xml:space="preserve">컴퓨터 키보드 마우스 모니터</t>
  </si>
  <si>
    <t xml:space="preserve">ko-bronze-3-02</t>
  </si>
  <si>
    <t xml:space="preserve">프로그램 데이터 입력 출력</t>
  </si>
  <si>
    <t xml:space="preserve">ko-bronze-3-03</t>
  </si>
  <si>
    <t xml:space="preserve">문제 해결 함수 변수 리스트</t>
  </si>
  <si>
    <t xml:space="preserve">ko-bronze-3-04</t>
  </si>
  <si>
    <t xml:space="preserve">인터넷 스마트폰 프린터 스피커</t>
  </si>
  <si>
    <t xml:space="preserve">ko-bronze-3-05</t>
  </si>
  <si>
    <t xml:space="preserve">추상화 알고리즘 순서도 디버깅</t>
  </si>
  <si>
    <t xml:space="preserve">ko-bronze-3-06</t>
  </si>
  <si>
    <t xml:space="preserve">우주 로켓 레이저 버튼 센서</t>
  </si>
  <si>
    <t xml:space="preserve">ko-bronze-3-07</t>
  </si>
  <si>
    <t xml:space="preserve">카메라 태블릿 웹캠 마이크</t>
  </si>
  <si>
    <t xml:space="preserve">ko-bronze-3-08</t>
  </si>
  <si>
    <t xml:space="preserve">구름 하늘 무지개 눈 비</t>
  </si>
  <si>
    <t xml:space="preserve">ko-bronze-3-09</t>
  </si>
  <si>
    <t xml:space="preserve">친구 축구 농구 줄넘기 탁구</t>
  </si>
  <si>
    <t xml:space="preserve">ko-bronze-3-10</t>
  </si>
  <si>
    <t xml:space="preserve">타자 연습 정확도 속도 기록</t>
  </si>
  <si>
    <t xml:space="preserve">ko-bronze-4-01</t>
  </si>
  <si>
    <t xml:space="preserve">꿈 씨앗 딸기 빵 짝꿍</t>
  </si>
  <si>
    <t xml:space="preserve">ko-bronze-4-02</t>
  </si>
  <si>
    <t xml:space="preserve">예시 시계 얘기 계산 세계</t>
  </si>
  <si>
    <t xml:space="preserve">ko-bronze-4-03</t>
  </si>
  <si>
    <t xml:space="preserve">과학 화면 원리 외부 회의</t>
  </si>
  <si>
    <t xml:space="preserve">ko-bronze-4-04</t>
  </si>
  <si>
    <t xml:space="preserve">의자 의견 귀 위치 쥐</t>
  </si>
  <si>
    <t xml:space="preserve">ko-bronze-4-05</t>
  </si>
  <si>
    <t xml:space="preserve">쓰기 빠르게 깨끗이 뛰어요</t>
  </si>
  <si>
    <t xml:space="preserve">ko-bronze-4-06</t>
  </si>
  <si>
    <t xml:space="preserve">떡볶이 꽃 꼬리 따뜻해</t>
  </si>
  <si>
    <t xml:space="preserve">ko-bronze-4-07</t>
  </si>
  <si>
    <t xml:space="preserve">왜 돼지 괜히 쾌적 꽤</t>
  </si>
  <si>
    <t xml:space="preserve">ko-bronze-4-08</t>
  </si>
  <si>
    <t xml:space="preserve">웨이브 궤도 훼손 꿰매다</t>
  </si>
  <si>
    <t xml:space="preserve">ko-bronze-4-09</t>
  </si>
  <si>
    <t xml:space="preserve">최적화 원격 의사소통 확인</t>
  </si>
  <si>
    <t xml:space="preserve">ko-bronze-4-10</t>
  </si>
  <si>
    <t xml:space="preserve">띄어쓰기 쌍자음 겹모음 예쁜 글씨</t>
  </si>
  <si>
    <t xml:space="preserve">ko-bronze-5-01</t>
  </si>
  <si>
    <t xml:space="preserve">닭 흙 값 몫 넋 삶</t>
  </si>
  <si>
    <t xml:space="preserve">ko-bronze-5-02</t>
  </si>
  <si>
    <t xml:space="preserve">읽기 앉다 많이 없다 넓다</t>
  </si>
  <si>
    <t xml:space="preserve">ko-bronze-5-03</t>
  </si>
  <si>
    <t xml:space="preserve">밟다 옳다 핥다 젊음 여덟</t>
  </si>
  <si>
    <t xml:space="preserve">ko-bronze-5-04</t>
  </si>
  <si>
    <t xml:space="preserve">짧다 굶다 읊다 끊다 싫다</t>
  </si>
  <si>
    <t xml:space="preserve">ko-bronze-5-05</t>
  </si>
  <si>
    <t xml:space="preserve">맑은 하늘 밝은 화면</t>
  </si>
  <si>
    <t xml:space="preserve">ko-bronze-5-06</t>
  </si>
  <si>
    <t xml:space="preserve">책을 읽고 값을 넣어요</t>
  </si>
  <si>
    <t xml:space="preserve">ko-bronze-5-07</t>
  </si>
  <si>
    <t xml:space="preserve">자리에 앉아 바르게 쳐요</t>
  </si>
  <si>
    <t xml:space="preserve">ko-bronze-5-08</t>
  </si>
  <si>
    <t xml:space="preserve">많은 데이터 넓은 화면</t>
  </si>
  <si>
    <t xml:space="preserve">ko-bronze-5-09</t>
  </si>
  <si>
    <t xml:space="preserve">옳은 답 없는 오류</t>
  </si>
  <si>
    <t xml:space="preserve">ko-bronze-5-10</t>
  </si>
  <si>
    <t xml:space="preserve">괜찮아 천천히 정확하게</t>
  </si>
  <si>
    <t xml:space="preserve">ko-silver-1-01</t>
  </si>
  <si>
    <t xml:space="preserve">낱말</t>
  </si>
  <si>
    <t xml:space="preserve">버저</t>
  </si>
  <si>
    <r>
      <rPr>
        <sz val="10"/>
        <rFont val="Malgun Gothic"/>
        <family val="0"/>
        <charset val="1"/>
      </rPr>
      <t xml:space="preserve">Ⅴ. </t>
    </r>
    <r>
      <rPr>
        <sz val="10"/>
        <rFont val="Noto Sans CJK SC"/>
        <family val="2"/>
      </rPr>
      <t xml:space="preserve">디지털 문화</t>
    </r>
  </si>
  <si>
    <t xml:space="preserve">205</t>
  </si>
  <si>
    <t xml:space="preserve">ko-silver-1-02</t>
  </si>
  <si>
    <t xml:space="preserve">트리</t>
  </si>
  <si>
    <t xml:space="preserve">198</t>
  </si>
  <si>
    <t xml:space="preserve">ko-silver-1-03</t>
  </si>
  <si>
    <t xml:space="preserve">추세</t>
  </si>
  <si>
    <r>
      <rPr>
        <sz val="10"/>
        <rFont val="Malgun Gothic"/>
        <family val="0"/>
        <charset val="1"/>
      </rPr>
      <t xml:space="preserve">Ⅱ. </t>
    </r>
    <r>
      <rPr>
        <sz val="10"/>
        <rFont val="Noto Sans CJK SC"/>
        <family val="2"/>
      </rPr>
      <t xml:space="preserve">데이터</t>
    </r>
  </si>
  <si>
    <t xml:space="preserve">65</t>
  </si>
  <si>
    <t xml:space="preserve">ko-silver-1-04</t>
  </si>
  <si>
    <t xml:space="preserve">쿠키</t>
  </si>
  <si>
    <t xml:space="preserve">210</t>
  </si>
  <si>
    <t xml:space="preserve">ko-silver-1-05</t>
  </si>
  <si>
    <t xml:space="preserve">부팅</t>
  </si>
  <si>
    <r>
      <rPr>
        <sz val="10"/>
        <rFont val="Malgun Gothic"/>
        <family val="0"/>
        <charset val="1"/>
      </rPr>
      <t xml:space="preserve">Ⅰ. </t>
    </r>
    <r>
      <rPr>
        <sz val="10"/>
        <rFont val="Noto Sans CJK SC"/>
        <family val="2"/>
      </rPr>
      <t xml:space="preserve">컴퓨팅 시스템</t>
    </r>
  </si>
  <si>
    <t xml:space="preserve">16</t>
  </si>
  <si>
    <t xml:space="preserve">ko-silver-1-06</t>
  </si>
  <si>
    <t xml:space="preserve">센서</t>
  </si>
  <si>
    <t xml:space="preserve">190</t>
  </si>
  <si>
    <t xml:space="preserve">ko-silver-1-07</t>
  </si>
  <si>
    <t xml:space="preserve">벡터</t>
  </si>
  <si>
    <t xml:space="preserve">47</t>
  </si>
  <si>
    <t xml:space="preserve">ko-silver-1-08</t>
  </si>
  <si>
    <t xml:space="preserve">파형</t>
  </si>
  <si>
    <t xml:space="preserve">48</t>
  </si>
  <si>
    <t xml:space="preserve">ko-silver-1-09</t>
  </si>
  <si>
    <t xml:space="preserve">변수</t>
  </si>
  <si>
    <r>
      <rPr>
        <sz val="10"/>
        <rFont val="Malgun Gothic"/>
        <family val="0"/>
        <charset val="1"/>
      </rPr>
      <t xml:space="preserve">Ⅲ. </t>
    </r>
    <r>
      <rPr>
        <sz val="10"/>
        <rFont val="Noto Sans CJK SC"/>
        <family val="2"/>
      </rPr>
      <t xml:space="preserve">알고리즘과 프로그래밍</t>
    </r>
  </si>
  <si>
    <t xml:space="preserve">102</t>
  </si>
  <si>
    <t xml:space="preserve">ko-silver-1-10</t>
  </si>
  <si>
    <t xml:space="preserve">함수</t>
  </si>
  <si>
    <t xml:space="preserve">78</t>
  </si>
  <si>
    <t xml:space="preserve">ko-silver-1-11</t>
  </si>
  <si>
    <t xml:space="preserve">추론</t>
  </si>
  <si>
    <r>
      <rPr>
        <sz val="10"/>
        <rFont val="Malgun Gothic"/>
        <family val="0"/>
        <charset val="1"/>
      </rPr>
      <t xml:space="preserve">Ⅳ. </t>
    </r>
    <r>
      <rPr>
        <sz val="10"/>
        <rFont val="Noto Sans CJK SC"/>
        <family val="2"/>
      </rPr>
      <t xml:space="preserve">인공지능</t>
    </r>
  </si>
  <si>
    <t xml:space="preserve">147</t>
  </si>
  <si>
    <t xml:space="preserve">ko-silver-1-12</t>
  </si>
  <si>
    <t xml:space="preserve">분류</t>
  </si>
  <si>
    <t xml:space="preserve">214</t>
  </si>
  <si>
    <t xml:space="preserve">ko-silver-1-13</t>
  </si>
  <si>
    <t xml:space="preserve">피싱</t>
  </si>
  <si>
    <t xml:space="preserve">ko-silver-1-14</t>
  </si>
  <si>
    <t xml:space="preserve">뇌파</t>
  </si>
  <si>
    <t xml:space="preserve">22</t>
  </si>
  <si>
    <t xml:space="preserve">ko-silver-1-15</t>
  </si>
  <si>
    <t xml:space="preserve">키보드</t>
  </si>
  <si>
    <t xml:space="preserve">12</t>
  </si>
  <si>
    <t xml:space="preserve">ko-silver-1-16</t>
  </si>
  <si>
    <t xml:space="preserve">마우스</t>
  </si>
  <si>
    <t xml:space="preserve">ko-silver-1-17</t>
  </si>
  <si>
    <t xml:space="preserve">데이터</t>
  </si>
  <si>
    <t xml:space="preserve">ko-silver-1-18</t>
  </si>
  <si>
    <t xml:space="preserve">픽셀</t>
  </si>
  <si>
    <t xml:space="preserve">ko-silver-1-19</t>
  </si>
  <si>
    <t xml:space="preserve">리스트</t>
  </si>
  <si>
    <t xml:space="preserve">101</t>
  </si>
  <si>
    <t xml:space="preserve">ko-silver-1-20</t>
  </si>
  <si>
    <t xml:space="preserve">학습</t>
  </si>
  <si>
    <t xml:space="preserve">191</t>
  </si>
  <si>
    <t xml:space="preserve">ko-silver-1-21</t>
  </si>
  <si>
    <t xml:space="preserve">인식</t>
  </si>
  <si>
    <t xml:space="preserve">ko-silver-1-22</t>
  </si>
  <si>
    <t xml:space="preserve">생성</t>
  </si>
  <si>
    <t xml:space="preserve">ko-silver-1-23</t>
  </si>
  <si>
    <t xml:space="preserve">챗봇</t>
  </si>
  <si>
    <t xml:space="preserve">145</t>
  </si>
  <si>
    <t xml:space="preserve">ko-silver-1-24</t>
  </si>
  <si>
    <t xml:space="preserve">편견</t>
  </si>
  <si>
    <t xml:space="preserve">157</t>
  </si>
  <si>
    <t xml:space="preserve">ko-silver-1-25</t>
  </si>
  <si>
    <t xml:space="preserve">아바타</t>
  </si>
  <si>
    <t xml:space="preserve">ko-silver-1-26</t>
  </si>
  <si>
    <t xml:space="preserve">중독</t>
  </si>
  <si>
    <t xml:space="preserve">203</t>
  </si>
  <si>
    <t xml:space="preserve">ko-silver-1-27</t>
  </si>
  <si>
    <t xml:space="preserve">자원</t>
  </si>
  <si>
    <t xml:space="preserve">ko-silver-1-28</t>
  </si>
  <si>
    <t xml:space="preserve">컴퓨터</t>
  </si>
  <si>
    <t xml:space="preserve">188</t>
  </si>
  <si>
    <t xml:space="preserve">ko-silver-1-29</t>
  </si>
  <si>
    <t xml:space="preserve">시스템</t>
  </si>
  <si>
    <t xml:space="preserve">189</t>
  </si>
  <si>
    <t xml:space="preserve">ko-silver-1-30</t>
  </si>
  <si>
    <t xml:space="preserve">디지털</t>
  </si>
  <si>
    <t xml:space="preserve">ko-silver-2-01</t>
  </si>
  <si>
    <t xml:space="preserve">이진수</t>
  </si>
  <si>
    <t xml:space="preserve">46</t>
  </si>
  <si>
    <t xml:space="preserve">ko-silver-2-02</t>
  </si>
  <si>
    <t xml:space="preserve">비트맵</t>
  </si>
  <si>
    <t xml:space="preserve">ko-silver-2-03</t>
  </si>
  <si>
    <t xml:space="preserve">해상도</t>
  </si>
  <si>
    <t xml:space="preserve">ko-silver-2-04</t>
  </si>
  <si>
    <t xml:space="preserve">프레임</t>
  </si>
  <si>
    <t xml:space="preserve">123</t>
  </si>
  <si>
    <t xml:space="preserve">ko-silver-2-05</t>
  </si>
  <si>
    <t xml:space="preserve">인터뷰</t>
  </si>
  <si>
    <t xml:space="preserve">50</t>
  </si>
  <si>
    <t xml:space="preserve">ko-silver-2-06</t>
  </si>
  <si>
    <t xml:space="preserve">테이블</t>
  </si>
  <si>
    <t xml:space="preserve">83</t>
  </si>
  <si>
    <t xml:space="preserve">ko-silver-2-07</t>
  </si>
  <si>
    <t xml:space="preserve">디버깅</t>
  </si>
  <si>
    <t xml:space="preserve">ko-silver-2-08</t>
  </si>
  <si>
    <t xml:space="preserve">대표성</t>
  </si>
  <si>
    <t xml:space="preserve">ko-silver-2-09</t>
  </si>
  <si>
    <t xml:space="preserve">클래스</t>
  </si>
  <si>
    <t xml:space="preserve">ko-silver-2-10</t>
  </si>
  <si>
    <t xml:space="preserve">핀테크</t>
  </si>
  <si>
    <t xml:space="preserve">192</t>
  </si>
  <si>
    <t xml:space="preserve">ko-silver-2-11</t>
  </si>
  <si>
    <t xml:space="preserve">저작자</t>
  </si>
  <si>
    <t xml:space="preserve">ko-silver-2-12</t>
  </si>
  <si>
    <t xml:space="preserve">구조화</t>
  </si>
  <si>
    <t xml:space="preserve">81</t>
  </si>
  <si>
    <t xml:space="preserve">ko-silver-2-13</t>
  </si>
  <si>
    <t xml:space="preserve">파이썬</t>
  </si>
  <si>
    <t xml:space="preserve">138</t>
  </si>
  <si>
    <t xml:space="preserve">ko-silver-2-14</t>
  </si>
  <si>
    <t xml:space="preserve">컴퓨팅</t>
  </si>
  <si>
    <t xml:space="preserve">ko-silver-2-15</t>
  </si>
  <si>
    <t xml:space="preserve">자동문</t>
  </si>
  <si>
    <t xml:space="preserve">11</t>
  </si>
  <si>
    <t xml:space="preserve">ko-silver-2-16</t>
  </si>
  <si>
    <t xml:space="preserve">인터넷</t>
  </si>
  <si>
    <t xml:space="preserve">ko-silver-2-17</t>
  </si>
  <si>
    <t xml:space="preserve">프로세스</t>
  </si>
  <si>
    <t xml:space="preserve">18</t>
  </si>
  <si>
    <t xml:space="preserve">ko-silver-2-18</t>
  </si>
  <si>
    <t xml:space="preserve">드라이버</t>
  </si>
  <si>
    <t xml:space="preserve">19</t>
  </si>
  <si>
    <t xml:space="preserve">ko-silver-2-19</t>
  </si>
  <si>
    <t xml:space="preserve">서보모터</t>
  </si>
  <si>
    <t xml:space="preserve">26</t>
  </si>
  <si>
    <t xml:space="preserve">ko-silver-2-20</t>
  </si>
  <si>
    <t xml:space="preserve">유니코드</t>
  </si>
  <si>
    <t xml:space="preserve">ko-silver-2-21</t>
  </si>
  <si>
    <t xml:space="preserve">유한성</t>
  </si>
  <si>
    <t xml:space="preserve">87</t>
  </si>
  <si>
    <t xml:space="preserve">ko-silver-2-22</t>
  </si>
  <si>
    <t xml:space="preserve">효율성</t>
  </si>
  <si>
    <t xml:space="preserve">20</t>
  </si>
  <si>
    <t xml:space="preserve">ko-silver-2-23</t>
  </si>
  <si>
    <t xml:space="preserve">연산자</t>
  </si>
  <si>
    <t xml:space="preserve">108</t>
  </si>
  <si>
    <t xml:space="preserve">ko-silver-2-24</t>
  </si>
  <si>
    <t xml:space="preserve">메타버스</t>
  </si>
  <si>
    <t xml:space="preserve">ko-silver-2-25</t>
  </si>
  <si>
    <t xml:space="preserve">저작물</t>
  </si>
  <si>
    <t xml:space="preserve">ko-silver-2-26</t>
  </si>
  <si>
    <t xml:space="preserve">계층형</t>
  </si>
  <si>
    <t xml:space="preserve">61</t>
  </si>
  <si>
    <t xml:space="preserve">ko-silver-2-27</t>
  </si>
  <si>
    <t xml:space="preserve">시각화</t>
  </si>
  <si>
    <t xml:space="preserve">42</t>
  </si>
  <si>
    <t xml:space="preserve">ko-silver-2-28</t>
  </si>
  <si>
    <t xml:space="preserve">추상화</t>
  </si>
  <si>
    <t xml:space="preserve">ko-silver-2-29</t>
  </si>
  <si>
    <t xml:space="preserve">스마트폰</t>
  </si>
  <si>
    <t xml:space="preserve">ko-silver-2-30</t>
  </si>
  <si>
    <t xml:space="preserve">빛 센서</t>
  </si>
  <si>
    <t xml:space="preserve">ko-silver-3-01</t>
  </si>
  <si>
    <t xml:space="preserve">아날로그</t>
  </si>
  <si>
    <t xml:space="preserve">28</t>
  </si>
  <si>
    <t xml:space="preserve">ko-silver-3-02</t>
  </si>
  <si>
    <t xml:space="preserve">동영상</t>
  </si>
  <si>
    <t xml:space="preserve">ko-silver-3-03</t>
  </si>
  <si>
    <t xml:space="preserve">그래프형</t>
  </si>
  <si>
    <t xml:space="preserve">ko-silver-3-04</t>
  </si>
  <si>
    <t xml:space="preserve">제어 구조</t>
  </si>
  <si>
    <t xml:space="preserve">41</t>
  </si>
  <si>
    <t xml:space="preserve">ko-silver-3-05</t>
  </si>
  <si>
    <t xml:space="preserve">매개변수</t>
  </si>
  <si>
    <t xml:space="preserve">122</t>
  </si>
  <si>
    <t xml:space="preserve">ko-silver-3-06</t>
  </si>
  <si>
    <t xml:space="preserve">빅데이터</t>
  </si>
  <si>
    <t xml:space="preserve">ko-silver-3-07</t>
  </si>
  <si>
    <t xml:space="preserve">익명성</t>
  </si>
  <si>
    <t xml:space="preserve">204</t>
  </si>
  <si>
    <t xml:space="preserve">ko-silver-3-08</t>
  </si>
  <si>
    <t xml:space="preserve">하드웨어</t>
  </si>
  <si>
    <t xml:space="preserve">9</t>
  </si>
  <si>
    <t xml:space="preserve">ko-silver-3-09</t>
  </si>
  <si>
    <t xml:space="preserve">네트워크</t>
  </si>
  <si>
    <t xml:space="preserve">ko-silver-3-10</t>
  </si>
  <si>
    <t xml:space="preserve">확장자</t>
  </si>
  <si>
    <t xml:space="preserve">ko-silver-3-11</t>
  </si>
  <si>
    <t xml:space="preserve">저작권</t>
  </si>
  <si>
    <t xml:space="preserve">ko-silver-3-12</t>
  </si>
  <si>
    <t xml:space="preserve">프리웨어</t>
  </si>
  <si>
    <t xml:space="preserve">215</t>
  </si>
  <si>
    <t xml:space="preserve">ko-silver-3-13</t>
  </si>
  <si>
    <t xml:space="preserve">운영체제</t>
  </si>
  <si>
    <t xml:space="preserve">212</t>
  </si>
  <si>
    <t xml:space="preserve">ko-silver-3-14</t>
  </si>
  <si>
    <t xml:space="preserve">홀로그램</t>
  </si>
  <si>
    <t xml:space="preserve">ko-silver-3-15</t>
  </si>
  <si>
    <t xml:space="preserve">소리 센서</t>
  </si>
  <si>
    <t xml:space="preserve">ko-silver-3-16</t>
  </si>
  <si>
    <t xml:space="preserve">거리 센서</t>
  </si>
  <si>
    <t xml:space="preserve">ko-silver-3-17</t>
  </si>
  <si>
    <t xml:space="preserve">센서 보드</t>
  </si>
  <si>
    <t xml:space="preserve">25</t>
  </si>
  <si>
    <t xml:space="preserve">ko-silver-3-18</t>
  </si>
  <si>
    <t xml:space="preserve">문자 코드</t>
  </si>
  <si>
    <t xml:space="preserve">ko-silver-3-19</t>
  </si>
  <si>
    <t xml:space="preserve">버블 차트</t>
  </si>
  <si>
    <t xml:space="preserve">66</t>
  </si>
  <si>
    <t xml:space="preserve">ko-silver-3-20</t>
  </si>
  <si>
    <t xml:space="preserve">초기 상태</t>
  </si>
  <si>
    <t xml:space="preserve">ko-silver-3-21</t>
  </si>
  <si>
    <t xml:space="preserve">알고리즘</t>
  </si>
  <si>
    <t xml:space="preserve">ko-silver-3-22</t>
  </si>
  <si>
    <t xml:space="preserve">공공누리</t>
  </si>
  <si>
    <t xml:space="preserve">ko-silver-3-23</t>
  </si>
  <si>
    <t xml:space="preserve">명확성</t>
  </si>
  <si>
    <t xml:space="preserve">ko-silver-3-24</t>
  </si>
  <si>
    <t xml:space="preserve">쉐어웨어</t>
  </si>
  <si>
    <t xml:space="preserve">ko-silver-3-25</t>
  </si>
  <si>
    <t xml:space="preserve">기억 장치</t>
  </si>
  <si>
    <t xml:space="preserve">ko-silver-3-26</t>
  </si>
  <si>
    <t xml:space="preserve">액추에이터</t>
  </si>
  <si>
    <t xml:space="preserve">ko-silver-3-27</t>
  </si>
  <si>
    <t xml:space="preserve">설문 조사</t>
  </si>
  <si>
    <t xml:space="preserve">ko-silver-3-28</t>
  </si>
  <si>
    <t xml:space="preserve">문헌 조사</t>
  </si>
  <si>
    <t xml:space="preserve">ko-silver-3-29</t>
  </si>
  <si>
    <t xml:space="preserve">다이어그램</t>
  </si>
  <si>
    <t xml:space="preserve">96</t>
  </si>
  <si>
    <t xml:space="preserve">ko-silver-3-30</t>
  </si>
  <si>
    <t xml:space="preserve">목표 상태</t>
  </si>
  <si>
    <t xml:space="preserve">79</t>
  </si>
  <si>
    <t xml:space="preserve">ko-silver-4-01</t>
  </si>
  <si>
    <t xml:space="preserve">핵심 요소</t>
  </si>
  <si>
    <t xml:space="preserve">ko-silver-4-02</t>
  </si>
  <si>
    <t xml:space="preserve">비교 연산</t>
  </si>
  <si>
    <t xml:space="preserve">ko-silver-4-03</t>
  </si>
  <si>
    <t xml:space="preserve">인공지능</t>
  </si>
  <si>
    <t xml:space="preserve">ko-silver-4-04</t>
  </si>
  <si>
    <t xml:space="preserve">스마트 시티</t>
  </si>
  <si>
    <t xml:space="preserve">ko-silver-4-05</t>
  </si>
  <si>
    <t xml:space="preserve">블록체인</t>
  </si>
  <si>
    <t xml:space="preserve">193</t>
  </si>
  <si>
    <t xml:space="preserve">ko-silver-4-06</t>
  </si>
  <si>
    <t xml:space="preserve">정보 격차</t>
  </si>
  <si>
    <t xml:space="preserve">194</t>
  </si>
  <si>
    <t xml:space="preserve">ko-silver-4-07</t>
  </si>
  <si>
    <t xml:space="preserve">개인 정보</t>
  </si>
  <si>
    <t xml:space="preserve">ko-silver-4-08</t>
  </si>
  <si>
    <t xml:space="preserve">소프트웨어</t>
  </si>
  <si>
    <t xml:space="preserve">ko-silver-4-09</t>
  </si>
  <si>
    <t xml:space="preserve">회로 기판</t>
  </si>
  <si>
    <t xml:space="preserve">ko-silver-4-10</t>
  </si>
  <si>
    <t xml:space="preserve">우주 쓰레기</t>
  </si>
  <si>
    <t xml:space="preserve">132</t>
  </si>
  <si>
    <t xml:space="preserve">ko-silver-4-11</t>
  </si>
  <si>
    <t xml:space="preserve">반환값</t>
  </si>
  <si>
    <t xml:space="preserve">ko-silver-4-12</t>
  </si>
  <si>
    <t xml:space="preserve">입력 장치</t>
  </si>
  <si>
    <t xml:space="preserve">ko-silver-4-13</t>
  </si>
  <si>
    <t xml:space="preserve">출력 장치</t>
  </si>
  <si>
    <t xml:space="preserve">ko-silver-4-14</t>
  </si>
  <si>
    <t xml:space="preserve">터치 스크린</t>
  </si>
  <si>
    <t xml:space="preserve">ko-silver-4-15</t>
  </si>
  <si>
    <t xml:space="preserve">숫자 표시기</t>
  </si>
  <si>
    <t xml:space="preserve">ko-silver-4-16</t>
  </si>
  <si>
    <t xml:space="preserve">스프레드시트</t>
  </si>
  <si>
    <t xml:space="preserve">150</t>
  </si>
  <si>
    <t xml:space="preserve">ko-silver-4-17</t>
  </si>
  <si>
    <t xml:space="preserve">막대 그래프</t>
  </si>
  <si>
    <t xml:space="preserve">ko-silver-4-18</t>
  </si>
  <si>
    <t xml:space="preserve">인포그래픽</t>
  </si>
  <si>
    <t xml:space="preserve">ko-silver-4-19</t>
  </si>
  <si>
    <t xml:space="preserve">양팔 저울</t>
  </si>
  <si>
    <t xml:space="preserve">88</t>
  </si>
  <si>
    <t xml:space="preserve">ko-silver-4-20</t>
  </si>
  <si>
    <t xml:space="preserve">논리 연산</t>
  </si>
  <si>
    <t xml:space="preserve">ko-silver-4-21</t>
  </si>
  <si>
    <t xml:space="preserve">시뮬레이션</t>
  </si>
  <si>
    <t xml:space="preserve">ko-silver-4-22</t>
  </si>
  <si>
    <t xml:space="preserve">잔상 효과</t>
  </si>
  <si>
    <t xml:space="preserve">ko-silver-4-23</t>
  </si>
  <si>
    <t xml:space="preserve">의사 결정</t>
  </si>
  <si>
    <t xml:space="preserve">180</t>
  </si>
  <si>
    <t xml:space="preserve">ko-silver-4-24</t>
  </si>
  <si>
    <t xml:space="preserve">로봇 청소기</t>
  </si>
  <si>
    <t xml:space="preserve">ko-silver-4-25</t>
  </si>
  <si>
    <t xml:space="preserve">주기억 장치</t>
  </si>
  <si>
    <t xml:space="preserve">ko-silver-4-26</t>
  </si>
  <si>
    <t xml:space="preserve">음성 인식</t>
  </si>
  <si>
    <t xml:space="preserve">ko-silver-4-27</t>
  </si>
  <si>
    <t xml:space="preserve">동작 인식</t>
  </si>
  <si>
    <t xml:space="preserve">ko-silver-4-28</t>
  </si>
  <si>
    <t xml:space="preserve">검색 엔진</t>
  </si>
  <si>
    <t xml:space="preserve">51</t>
  </si>
  <si>
    <t xml:space="preserve">ko-silver-4-29</t>
  </si>
  <si>
    <t xml:space="preserve">산술 연산</t>
  </si>
  <si>
    <t xml:space="preserve">ko-silver-4-30</t>
  </si>
  <si>
    <t xml:space="preserve">증강 현실</t>
  </si>
  <si>
    <t xml:space="preserve">ko-silver-5-01</t>
  </si>
  <si>
    <t xml:space="preserve">디지털 윤리</t>
  </si>
  <si>
    <t xml:space="preserve">ko-silver-5-02</t>
  </si>
  <si>
    <t xml:space="preserve">사이버 폭력</t>
  </si>
  <si>
    <t xml:space="preserve">ko-silver-5-03</t>
  </si>
  <si>
    <t xml:space="preserve">디지털 사회</t>
  </si>
  <si>
    <t xml:space="preserve">ko-silver-5-04</t>
  </si>
  <si>
    <t xml:space="preserve">사이버 범죄</t>
  </si>
  <si>
    <t xml:space="preserve">ko-silver-5-05</t>
  </si>
  <si>
    <t xml:space="preserve">파일 탐색기</t>
  </si>
  <si>
    <t xml:space="preserve">13</t>
  </si>
  <si>
    <t xml:space="preserve">ko-silver-5-06</t>
  </si>
  <si>
    <t xml:space="preserve">스마트 가로등</t>
  </si>
  <si>
    <t xml:space="preserve">27</t>
  </si>
  <si>
    <t xml:space="preserve">ko-silver-5-07</t>
  </si>
  <si>
    <t xml:space="preserve">사물 인터넷</t>
  </si>
  <si>
    <t xml:space="preserve">ko-silver-5-08</t>
  </si>
  <si>
    <t xml:space="preserve">수행 가능성</t>
  </si>
  <si>
    <t xml:space="preserve">ko-silver-5-09</t>
  </si>
  <si>
    <t xml:space="preserve">디자인 싱킹</t>
  </si>
  <si>
    <t xml:space="preserve">184</t>
  </si>
  <si>
    <t xml:space="preserve">ko-silver-5-10</t>
  </si>
  <si>
    <t xml:space="preserve">워드 프로세서</t>
  </si>
  <si>
    <t xml:space="preserve">ko-silver-5-11</t>
  </si>
  <si>
    <t xml:space="preserve">이미지 편집기</t>
  </si>
  <si>
    <t xml:space="preserve">ko-silver-5-12</t>
  </si>
  <si>
    <t xml:space="preserve">워드 클라우드</t>
  </si>
  <si>
    <t xml:space="preserve">ko-silver-5-13</t>
  </si>
  <si>
    <t xml:space="preserve">저작 재산권</t>
  </si>
  <si>
    <t xml:space="preserve">ko-silver-5-14</t>
  </si>
  <si>
    <t xml:space="preserve">백신 프로그램</t>
  </si>
  <si>
    <t xml:space="preserve">ko-silver-5-15</t>
  </si>
  <si>
    <t xml:space="preserve">보조 기억 장치</t>
  </si>
  <si>
    <t xml:space="preserve">ko-silver-5-16</t>
  </si>
  <si>
    <t xml:space="preserve">중첩 제어 구조</t>
  </si>
  <si>
    <t xml:space="preserve">ko-silver-5-17</t>
  </si>
  <si>
    <t xml:space="preserve">디지털 저작물</t>
  </si>
  <si>
    <t xml:space="preserve">ko-silver-5-18</t>
  </si>
  <si>
    <t xml:space="preserve">저작 인격권</t>
  </si>
  <si>
    <t xml:space="preserve">ko-silver-5-19</t>
  </si>
  <si>
    <t xml:space="preserve">중앙 처리 장치</t>
  </si>
  <si>
    <t xml:space="preserve">ko-silver-5-20</t>
  </si>
  <si>
    <t xml:space="preserve">프로그래밍 언어</t>
  </si>
  <si>
    <t xml:space="preserve">ko-silver-5-21</t>
  </si>
  <si>
    <t xml:space="preserve">인공지능 모델</t>
  </si>
  <si>
    <t xml:space="preserve">152</t>
  </si>
  <si>
    <t xml:space="preserve">ko-silver-5-22</t>
  </si>
  <si>
    <t xml:space="preserve">초고속 통신망</t>
  </si>
  <si>
    <t xml:space="preserve">ko-silver-5-23</t>
  </si>
  <si>
    <t xml:space="preserve">마이크로컨트롤러</t>
  </si>
  <si>
    <t xml:space="preserve">ko-silver-5-24</t>
  </si>
  <si>
    <t xml:space="preserve">자율주행 자동차</t>
  </si>
  <si>
    <t xml:space="preserve">ko-silver-5-25</t>
  </si>
  <si>
    <t xml:space="preserve">클라우드 컴퓨팅</t>
  </si>
  <si>
    <t xml:space="preserve">54</t>
  </si>
  <si>
    <t xml:space="preserve">ko-silver-5-26</t>
  </si>
  <si>
    <t xml:space="preserve">빅데이터 전문가</t>
  </si>
  <si>
    <t xml:space="preserve">56</t>
  </si>
  <si>
    <t xml:space="preserve">ko-silver-5-27</t>
  </si>
  <si>
    <t xml:space="preserve">응용 소프트웨어</t>
  </si>
  <si>
    <t xml:space="preserve">ko-silver-5-28</t>
  </si>
  <si>
    <t xml:space="preserve">웨어러블 컴퓨터</t>
  </si>
  <si>
    <t xml:space="preserve">ko-silver-5-29</t>
  </si>
  <si>
    <t xml:space="preserve">공공 데이터 포털</t>
  </si>
  <si>
    <t xml:space="preserve">ko-silver-5-30</t>
  </si>
  <si>
    <t xml:space="preserve">시스템 소프트웨어</t>
  </si>
  <si>
    <t xml:space="preserve">ko-gold-1-01</t>
  </si>
  <si>
    <t xml:space="preserve">문장</t>
  </si>
  <si>
    <r>
      <rPr>
        <sz val="10"/>
        <rFont val="Noto Sans CJK SC"/>
        <family val="2"/>
      </rPr>
      <t xml:space="preserve">인간이 우주에서 살 수 있을까</t>
    </r>
    <r>
      <rPr>
        <sz val="10"/>
        <rFont val="Malgun Gothic"/>
        <family val="0"/>
        <charset val="1"/>
      </rPr>
      <t xml:space="preserve">?</t>
    </r>
  </si>
  <si>
    <t xml:space="preserve">ko-gold-1-02</t>
  </si>
  <si>
    <r>
      <rPr>
        <sz val="10"/>
        <rFont val="Noto Sans CJK SC"/>
        <family val="2"/>
      </rPr>
      <t xml:space="preserve">문제의 핵심 요소를 찾아 정리해 보자</t>
    </r>
    <r>
      <rPr>
        <sz val="10"/>
        <rFont val="Malgun Gothic"/>
        <family val="0"/>
        <charset val="1"/>
      </rPr>
      <t xml:space="preserve">.</t>
    </r>
  </si>
  <si>
    <t xml:space="preserve">127</t>
  </si>
  <si>
    <t xml:space="preserve">ko-gold-1-03</t>
  </si>
  <si>
    <r>
      <rPr>
        <sz val="10"/>
        <rFont val="Noto Sans CJK SC"/>
        <family val="2"/>
      </rPr>
      <t xml:space="preserve">미래에는 어떤 입력 장치들이 사용될까</t>
    </r>
    <r>
      <rPr>
        <sz val="10"/>
        <rFont val="Malgun Gothic"/>
        <family val="0"/>
        <charset val="1"/>
      </rPr>
      <t xml:space="preserve">?</t>
    </r>
  </si>
  <si>
    <t xml:space="preserve">ko-gold-1-04</t>
  </si>
  <si>
    <r>
      <rPr>
        <sz val="10"/>
        <rFont val="Noto Sans CJK SC"/>
        <family val="2"/>
      </rPr>
      <t xml:space="preserve">이진수는 </t>
    </r>
    <r>
      <rPr>
        <sz val="10"/>
        <rFont val="Malgun Gothic"/>
        <family val="0"/>
        <charset val="1"/>
      </rPr>
      <t xml:space="preserve">0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만을 사용하는 수 체계이다</t>
    </r>
    <r>
      <rPr>
        <sz val="10"/>
        <rFont val="Malgun Gothic"/>
        <family val="0"/>
        <charset val="1"/>
      </rPr>
      <t xml:space="preserve">.</t>
    </r>
  </si>
  <si>
    <t xml:space="preserve">용어 풀이를 문장으로 바꿈</t>
  </si>
  <si>
    <t xml:space="preserve">ko-gold-1-05</t>
  </si>
  <si>
    <r>
      <rPr>
        <sz val="10"/>
        <rFont val="Noto Sans CJK SC"/>
        <family val="2"/>
      </rPr>
      <t xml:space="preserve">이미 만들어 놓은 함수는 재사용이 가능하다</t>
    </r>
    <r>
      <rPr>
        <sz val="10"/>
        <rFont val="Malgun Gothic"/>
        <family val="0"/>
        <charset val="1"/>
      </rPr>
      <t xml:space="preserve">.</t>
    </r>
  </si>
  <si>
    <t xml:space="preserve">121</t>
  </si>
  <si>
    <t xml:space="preserve">ko-gold-1-06</t>
  </si>
  <si>
    <r>
      <rPr>
        <sz val="10"/>
        <rFont val="Noto Sans CJK SC"/>
        <family val="2"/>
      </rPr>
      <t xml:space="preserve">문제는 해결해야 하는 일이나 과제를 말한다</t>
    </r>
    <r>
      <rPr>
        <sz val="10"/>
        <rFont val="Malgun Gothic"/>
        <family val="0"/>
        <charset val="1"/>
      </rPr>
      <t xml:space="preserve">.</t>
    </r>
  </si>
  <si>
    <t xml:space="preserve">ko-gold-1-07</t>
  </si>
  <si>
    <r>
      <rPr>
        <sz val="10"/>
        <rFont val="Noto Sans CJK SC"/>
        <family val="2"/>
      </rPr>
      <t xml:space="preserve">연산자는 연산을 하기 위한 기호를 말한다</t>
    </r>
    <r>
      <rPr>
        <sz val="10"/>
        <rFont val="Malgun Gothic"/>
        <family val="0"/>
        <charset val="1"/>
      </rPr>
      <t xml:space="preserve">.</t>
    </r>
  </si>
  <si>
    <t xml:space="preserve">ko-gold-1-08</t>
  </si>
  <si>
    <r>
      <rPr>
        <sz val="10"/>
        <rFont val="Noto Sans CJK SC"/>
        <family val="2"/>
      </rPr>
      <t xml:space="preserve">프로그램에서 중복되는 코드를 제거할 수 있다</t>
    </r>
    <r>
      <rPr>
        <sz val="10"/>
        <rFont val="Malgun Gothic"/>
        <family val="0"/>
        <charset val="1"/>
      </rPr>
      <t xml:space="preserve">.</t>
    </r>
  </si>
  <si>
    <t xml:space="preserve">118</t>
  </si>
  <si>
    <t xml:space="preserve">ko-gold-1-09</t>
  </si>
  <si>
    <r>
      <rPr>
        <sz val="10"/>
        <rFont val="Noto Sans CJK SC"/>
        <family val="2"/>
      </rPr>
      <t xml:space="preserve">함수는 여러 가지 형태로 다양하게 응용할 수 있다</t>
    </r>
    <r>
      <rPr>
        <sz val="10"/>
        <rFont val="Malgun Gothic"/>
        <family val="0"/>
        <charset val="1"/>
      </rPr>
      <t xml:space="preserve">.</t>
    </r>
  </si>
  <si>
    <t xml:space="preserve">ko-gold-1-10</t>
  </si>
  <si>
    <r>
      <rPr>
        <sz val="10"/>
        <rFont val="Noto Sans CJK SC"/>
        <family val="2"/>
      </rPr>
      <t xml:space="preserve">엔트리봇이 달리고 점프하는 프로그램을 작성해 보자</t>
    </r>
    <r>
      <rPr>
        <sz val="10"/>
        <rFont val="Malgun Gothic"/>
        <family val="0"/>
        <charset val="1"/>
      </rPr>
      <t xml:space="preserve">.</t>
    </r>
  </si>
  <si>
    <t xml:space="preserve">115</t>
  </si>
  <si>
    <t xml:space="preserve">ko-gold-2-01</t>
  </si>
  <si>
    <r>
      <rPr>
        <sz val="10"/>
        <rFont val="Noto Sans CJK SC"/>
        <family val="2"/>
      </rPr>
      <t xml:space="preserve">컴퓨팅 시스템은 하드웨어와 소프트웨어로 구성된다</t>
    </r>
    <r>
      <rPr>
        <sz val="10"/>
        <rFont val="Malgun Gothic"/>
        <family val="0"/>
        <charset val="1"/>
      </rPr>
      <t xml:space="preserve">.</t>
    </r>
  </si>
  <si>
    <t xml:space="preserve">ko-gold-2-02</t>
  </si>
  <si>
    <r>
      <rPr>
        <sz val="10"/>
        <rFont val="Noto Sans CJK SC"/>
        <family val="2"/>
      </rPr>
      <t xml:space="preserve">알고리즘은 특정 문제를 해결하는 절차나 방법이다</t>
    </r>
    <r>
      <rPr>
        <sz val="10"/>
        <rFont val="Malgun Gothic"/>
        <family val="0"/>
        <charset val="1"/>
      </rPr>
      <t xml:space="preserve">.</t>
    </r>
  </si>
  <si>
    <t xml:space="preserve">86</t>
  </si>
  <si>
    <t xml:space="preserve">ko-gold-2-03</t>
  </si>
  <si>
    <r>
      <rPr>
        <sz val="10"/>
        <rFont val="Noto Sans CJK SC"/>
        <family val="2"/>
      </rPr>
      <t xml:space="preserve">다이어그램의 유형에는 계층형과 그래프형 등이 있다</t>
    </r>
    <r>
      <rPr>
        <sz val="10"/>
        <rFont val="Malgun Gothic"/>
        <family val="0"/>
        <charset val="1"/>
      </rPr>
      <t xml:space="preserve">.</t>
    </r>
  </si>
  <si>
    <t xml:space="preserve">ko-gold-2-04</t>
  </si>
  <si>
    <r>
      <rPr>
        <sz val="10"/>
        <rFont val="Noto Sans CJK SC"/>
        <family val="2"/>
      </rPr>
      <t xml:space="preserve">프레임은 동영상을 구성하는 하나의 장면을 말한다</t>
    </r>
    <r>
      <rPr>
        <sz val="10"/>
        <rFont val="Malgun Gothic"/>
        <family val="0"/>
        <charset val="1"/>
      </rPr>
      <t xml:space="preserve">.</t>
    </r>
  </si>
  <si>
    <t xml:space="preserve">ko-gold-2-05</t>
  </si>
  <si>
    <r>
      <rPr>
        <sz val="10"/>
        <rFont val="Noto Sans CJK SC"/>
        <family val="2"/>
      </rPr>
      <t xml:space="preserve">개인 정보란 살아 있는 개인에 관한 정보를 말한다</t>
    </r>
    <r>
      <rPr>
        <sz val="10"/>
        <rFont val="Malgun Gothic"/>
        <family val="0"/>
        <charset val="1"/>
      </rPr>
      <t xml:space="preserve">.</t>
    </r>
  </si>
  <si>
    <t xml:space="preserve">ko-gold-2-06</t>
  </si>
  <si>
    <r>
      <rPr>
        <sz val="10"/>
        <rFont val="Noto Sans CJK SC"/>
        <family val="2"/>
      </rPr>
      <t xml:space="preserve">주어진 문제를 해결하는 알고리즘은 여러 가지일 수 있다</t>
    </r>
    <r>
      <rPr>
        <sz val="10"/>
        <rFont val="Malgun Gothic"/>
        <family val="0"/>
        <charset val="1"/>
      </rPr>
      <t xml:space="preserve">.</t>
    </r>
  </si>
  <si>
    <t xml:space="preserve">ko-gold-2-07</t>
  </si>
  <si>
    <r>
      <rPr>
        <sz val="10"/>
        <rFont val="Noto Sans CJK SC"/>
        <family val="2"/>
      </rPr>
      <t xml:space="preserve">줄다리기에 필요한 신체 부위와 측정 요소를 추출해 보자</t>
    </r>
    <r>
      <rPr>
        <sz val="10"/>
        <rFont val="Malgun Gothic"/>
        <family val="0"/>
        <charset val="1"/>
      </rPr>
      <t xml:space="preserve">.</t>
    </r>
  </si>
  <si>
    <t xml:space="preserve">69</t>
  </si>
  <si>
    <t xml:space="preserve">ko-gold-2-08</t>
  </si>
  <si>
    <r>
      <rPr>
        <sz val="10"/>
        <rFont val="Noto Sans CJK SC"/>
        <family val="2"/>
      </rPr>
      <t xml:space="preserve">저작권은 저작 인격권과 저작 재산권으로 분류된다</t>
    </r>
    <r>
      <rPr>
        <sz val="10"/>
        <rFont val="Malgun Gothic"/>
        <family val="0"/>
        <charset val="1"/>
      </rPr>
      <t xml:space="preserve">.</t>
    </r>
  </si>
  <si>
    <t xml:space="preserve">ko-gold-2-09</t>
  </si>
  <si>
    <r>
      <rPr>
        <sz val="10"/>
        <rFont val="Noto Sans CJK SC"/>
        <family val="2"/>
      </rPr>
      <t xml:space="preserve">반환값은 함수에 따라 있을 수도 있고 없을 수도 있다</t>
    </r>
    <r>
      <rPr>
        <sz val="10"/>
        <rFont val="Malgun Gothic"/>
        <family val="0"/>
        <charset val="1"/>
      </rPr>
      <t xml:space="preserve">.</t>
    </r>
  </si>
  <si>
    <t xml:space="preserve">ko-gold-2-10</t>
  </si>
  <si>
    <r>
      <rPr>
        <sz val="10"/>
        <rFont val="Noto Sans CJK SC"/>
        <family val="2"/>
      </rPr>
      <t xml:space="preserve">프로그램을 작성할 때는 데이터의 입출력이 기본이 된다</t>
    </r>
    <r>
      <rPr>
        <sz val="10"/>
        <rFont val="Malgun Gothic"/>
        <family val="0"/>
        <charset val="1"/>
      </rPr>
      <t xml:space="preserve">.</t>
    </r>
  </si>
  <si>
    <t xml:space="preserve">ko-gold-3-01</t>
  </si>
  <si>
    <r>
      <rPr>
        <sz val="10"/>
        <rFont val="Noto Sans CJK SC"/>
        <family val="2"/>
      </rPr>
      <t xml:space="preserve">숫자를 입력받아 홀짝을 맞히는 프로그램을 생각해 보자</t>
    </r>
    <r>
      <rPr>
        <sz val="10"/>
        <rFont val="Malgun Gothic"/>
        <family val="0"/>
        <charset val="1"/>
      </rPr>
      <t xml:space="preserve">.</t>
    </r>
  </si>
  <si>
    <t xml:space="preserve">85</t>
  </si>
  <si>
    <t xml:space="preserve">ko-gold-3-02</t>
  </si>
  <si>
    <r>
      <rPr>
        <sz val="10"/>
        <rFont val="Noto Sans CJK SC"/>
        <family val="2"/>
      </rPr>
      <t xml:space="preserve">디지털 저작물은 디지털화된 저작물을 총칭하는 말이다</t>
    </r>
    <r>
      <rPr>
        <sz val="10"/>
        <rFont val="Malgun Gothic"/>
        <family val="0"/>
        <charset val="1"/>
      </rPr>
      <t xml:space="preserve">.</t>
    </r>
  </si>
  <si>
    <t xml:space="preserve">ko-gold-3-03</t>
  </si>
  <si>
    <r>
      <rPr>
        <sz val="10"/>
        <rFont val="Noto Sans CJK SC"/>
        <family val="2"/>
      </rPr>
      <t xml:space="preserve">추세를 파악하면 데이터의 변화를 예측하는 데 도움이 된다</t>
    </r>
    <r>
      <rPr>
        <sz val="10"/>
        <rFont val="Malgun Gothic"/>
        <family val="0"/>
        <charset val="1"/>
      </rPr>
      <t xml:space="preserve">.</t>
    </r>
  </si>
  <si>
    <t xml:space="preserve">ko-gold-3-04</t>
  </si>
  <si>
    <r>
      <rPr>
        <sz val="10"/>
        <rFont val="Noto Sans CJK SC"/>
        <family val="2"/>
      </rPr>
      <t xml:space="preserve">계층형은 하나의 데이터를 상하 관계로 나누어 가는 방법이다</t>
    </r>
    <r>
      <rPr>
        <sz val="10"/>
        <rFont val="Malgun Gothic"/>
        <family val="0"/>
        <charset val="1"/>
      </rPr>
      <t xml:space="preserve">.</t>
    </r>
  </si>
  <si>
    <t xml:space="preserve">ko-gold-3-05</t>
  </si>
  <si>
    <r>
      <rPr>
        <sz val="10"/>
        <rFont val="Noto Sans CJK SC"/>
        <family val="2"/>
      </rPr>
      <t xml:space="preserve">변수는 데이터를 저장하는 공간으로 이름을 만들어 사용한다</t>
    </r>
    <r>
      <rPr>
        <sz val="10"/>
        <rFont val="Malgun Gothic"/>
        <family val="0"/>
        <charset val="1"/>
      </rPr>
      <t xml:space="preserve">.</t>
    </r>
  </si>
  <si>
    <t xml:space="preserve">ko-gold-3-06</t>
  </si>
  <si>
    <r>
      <rPr>
        <sz val="10"/>
        <rFont val="Noto Sans CJK SC"/>
        <family val="2"/>
      </rPr>
      <t xml:space="preserve">국민 체력 데이터와 학급 친구들의 체력 데이터를 비교해 보자</t>
    </r>
    <r>
      <rPr>
        <sz val="10"/>
        <rFont val="Malgun Gothic"/>
        <family val="0"/>
        <charset val="1"/>
      </rPr>
      <t xml:space="preserve">.</t>
    </r>
  </si>
  <si>
    <t xml:space="preserve">68</t>
  </si>
  <si>
    <t xml:space="preserve">ko-gold-3-07</t>
  </si>
  <si>
    <r>
      <rPr>
        <sz val="10"/>
        <rFont val="Noto Sans CJK SC"/>
        <family val="2"/>
      </rPr>
      <t xml:space="preserve">알고리즘 설계는 문제를 해결하는 과정을 계획하는 것이다</t>
    </r>
    <r>
      <rPr>
        <sz val="10"/>
        <rFont val="Malgun Gothic"/>
        <family val="0"/>
        <charset val="1"/>
      </rPr>
      <t xml:space="preserve">.</t>
    </r>
  </si>
  <si>
    <t xml:space="preserve">92</t>
  </si>
  <si>
    <t xml:space="preserve">ko-gold-3-08</t>
  </si>
  <si>
    <r>
      <rPr>
        <sz val="10"/>
        <rFont val="Noto Sans CJK SC"/>
        <family val="2"/>
      </rPr>
      <t xml:space="preserve">데이터를 크기 순서로 정렬한 후에 불필요한 데이터를 삭제한다</t>
    </r>
    <r>
      <rPr>
        <sz val="10"/>
        <rFont val="Malgun Gothic"/>
        <family val="0"/>
        <charset val="1"/>
      </rPr>
      <t xml:space="preserve">.</t>
    </r>
  </si>
  <si>
    <t xml:space="preserve">70</t>
  </si>
  <si>
    <t xml:space="preserve">ko-gold-3-09</t>
  </si>
  <si>
    <r>
      <rPr>
        <sz val="10"/>
        <rFont val="Noto Sans CJK SC"/>
        <family val="2"/>
      </rPr>
      <t xml:space="preserve">한 번 만들어진 함수를 다른 프로그램에서도 재사용할 수 있다</t>
    </r>
    <r>
      <rPr>
        <sz val="10"/>
        <rFont val="Malgun Gothic"/>
        <family val="0"/>
        <charset val="1"/>
      </rPr>
      <t xml:space="preserve">.</t>
    </r>
  </si>
  <si>
    <t xml:space="preserve">ko-gold-3-10</t>
  </si>
  <si>
    <r>
      <rPr>
        <sz val="10"/>
        <rFont val="Noto Sans CJK SC"/>
        <family val="2"/>
      </rPr>
      <t xml:space="preserve">복잡한 프로그램을 간단한 작업으로 분해해서 처리할 수 있다</t>
    </r>
    <r>
      <rPr>
        <sz val="10"/>
        <rFont val="Malgun Gothic"/>
        <family val="0"/>
        <charset val="1"/>
      </rPr>
      <t xml:space="preserve">.</t>
    </r>
  </si>
  <si>
    <t xml:space="preserve">ko-gold-3-11</t>
  </si>
  <si>
    <r>
      <rPr>
        <sz val="10"/>
        <rFont val="Noto Sans CJK SC"/>
        <family val="2"/>
      </rPr>
      <t xml:space="preserve">투표 프로그램의 작동 원리를 이해하고 알고리즘을 설계해 보자</t>
    </r>
    <r>
      <rPr>
        <sz val="10"/>
        <rFont val="Malgun Gothic"/>
        <family val="0"/>
        <charset val="1"/>
      </rPr>
      <t xml:space="preserve">.</t>
    </r>
  </si>
  <si>
    <t xml:space="preserve">ko-gold-4-01</t>
  </si>
  <si>
    <r>
      <rPr>
        <sz val="10"/>
        <rFont val="Noto Sans CJK SC"/>
        <family val="2"/>
      </rPr>
      <t xml:space="preserve">소프트웨어는 시스템 소프트웨어와 응용 소프트웨어로 구분된다</t>
    </r>
    <r>
      <rPr>
        <sz val="10"/>
        <rFont val="Malgun Gothic"/>
        <family val="0"/>
        <charset val="1"/>
      </rPr>
      <t xml:space="preserve">.</t>
    </r>
  </si>
  <si>
    <t xml:space="preserve">ko-gold-4-02</t>
  </si>
  <si>
    <r>
      <rPr>
        <sz val="10"/>
        <rFont val="Noto Sans CJK SC"/>
        <family val="2"/>
      </rPr>
      <t xml:space="preserve">추세는 어떤 현상이 일정한 방향으로 나아가는 경향을 말한다</t>
    </r>
    <r>
      <rPr>
        <sz val="10"/>
        <rFont val="Malgun Gothic"/>
        <family val="0"/>
        <charset val="1"/>
      </rPr>
      <t xml:space="preserve">.</t>
    </r>
  </si>
  <si>
    <t xml:space="preserve">ko-gold-4-03</t>
  </si>
  <si>
    <r>
      <rPr>
        <sz val="10"/>
        <rFont val="Noto Sans CJK SC"/>
        <family val="2"/>
      </rPr>
      <t xml:space="preserve">노래를 인식하여 제목을 알려 주는 인공지능 모델을 만들어 보자</t>
    </r>
    <r>
      <rPr>
        <sz val="10"/>
        <rFont val="Malgun Gothic"/>
        <family val="0"/>
        <charset val="1"/>
      </rPr>
      <t xml:space="preserve">.</t>
    </r>
  </si>
  <si>
    <t xml:space="preserve">168</t>
  </si>
  <si>
    <t xml:space="preserve">ko-gold-4-04</t>
  </si>
  <si>
    <r>
      <rPr>
        <sz val="10"/>
        <rFont val="Noto Sans CJK SC"/>
        <family val="2"/>
      </rPr>
      <t xml:space="preserve">인공지능 시스템은 데이터에서 공통된 특징을 찾으며 학습한다</t>
    </r>
    <r>
      <rPr>
        <sz val="10"/>
        <rFont val="Malgun Gothic"/>
        <family val="0"/>
        <charset val="1"/>
      </rPr>
      <t xml:space="preserve">.</t>
    </r>
  </si>
  <si>
    <t xml:space="preserve">ko-gold-4-05</t>
  </si>
  <si>
    <r>
      <rPr>
        <sz val="10"/>
        <rFont val="Noto Sans CJK SC"/>
        <family val="2"/>
      </rPr>
      <t xml:space="preserve">직업은 시대의 흐름에 따라 생기고 사라지는 현상을 반복해 왔다</t>
    </r>
    <r>
      <rPr>
        <sz val="10"/>
        <rFont val="Malgun Gothic"/>
        <family val="0"/>
        <charset val="1"/>
      </rPr>
      <t xml:space="preserve">.</t>
    </r>
  </si>
  <si>
    <t xml:space="preserve">196</t>
  </si>
  <si>
    <t xml:space="preserve">ko-gold-4-06</t>
  </si>
  <si>
    <r>
      <rPr>
        <sz val="10"/>
        <rFont val="Noto Sans CJK SC"/>
        <family val="2"/>
      </rPr>
      <t xml:space="preserve">부족한 데이터로 학습하면 인공지능 시스템의 정확도가 낮아진다</t>
    </r>
    <r>
      <rPr>
        <sz val="10"/>
        <rFont val="Malgun Gothic"/>
        <family val="0"/>
        <charset val="1"/>
      </rPr>
      <t xml:space="preserve">.</t>
    </r>
  </si>
  <si>
    <t xml:space="preserve">156</t>
  </si>
  <si>
    <t xml:space="preserve">ko-gold-4-07</t>
  </si>
  <si>
    <r>
      <rPr>
        <sz val="10"/>
        <rFont val="Noto Sans CJK SC"/>
        <family val="2"/>
      </rPr>
      <t xml:space="preserve">확장자는 파일 이름의 끝에 오는 문자로 파일의 형식을 나타낸다</t>
    </r>
    <r>
      <rPr>
        <sz val="10"/>
        <rFont val="Malgun Gothic"/>
        <family val="0"/>
        <charset val="1"/>
      </rPr>
      <t xml:space="preserve">.</t>
    </r>
  </si>
  <si>
    <t xml:space="preserve">ko-gold-4-08</t>
  </si>
  <si>
    <r>
      <rPr>
        <sz val="10"/>
        <rFont val="Noto Sans CJK SC"/>
        <family val="2"/>
      </rPr>
      <t xml:space="preserve">설계한 알고리즘을 바탕으로 화면을 구성하고 프로그램을 작성한다</t>
    </r>
    <r>
      <rPr>
        <sz val="10"/>
        <rFont val="Malgun Gothic"/>
        <family val="0"/>
        <charset val="1"/>
      </rPr>
      <t xml:space="preserve">.</t>
    </r>
  </si>
  <si>
    <t xml:space="preserve">128</t>
  </si>
  <si>
    <t xml:space="preserve">ko-gold-4-09</t>
  </si>
  <si>
    <r>
      <rPr>
        <sz val="10"/>
        <rFont val="Noto Sans CJK SC"/>
        <family val="2"/>
      </rPr>
      <t xml:space="preserve">함수의 사용이 완료되었을 때의 결괏값을 반환값이라고 한다</t>
    </r>
    <r>
      <rPr>
        <sz val="10"/>
        <rFont val="Malgun Gothic"/>
        <family val="0"/>
        <charset val="1"/>
      </rPr>
      <t xml:space="preserve">.</t>
    </r>
  </si>
  <si>
    <t xml:space="preserve">ko-gold-4-10</t>
  </si>
  <si>
    <r>
      <rPr>
        <sz val="10"/>
        <rFont val="Noto Sans CJK SC"/>
        <family val="2"/>
      </rPr>
      <t xml:space="preserve">우리가 알고 있는 입력 장치에는 키보드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마우스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터치 스크린 등이 있다</t>
    </r>
    <r>
      <rPr>
        <sz val="10"/>
        <rFont val="Malgun Gothic"/>
        <family val="0"/>
        <charset val="1"/>
      </rPr>
      <t xml:space="preserve">.</t>
    </r>
  </si>
  <si>
    <t xml:space="preserve">ko-gold-5-01</t>
  </si>
  <si>
    <r>
      <rPr>
        <sz val="10"/>
        <rFont val="Noto Sans CJK SC"/>
        <family val="2"/>
      </rPr>
      <t xml:space="preserve">핵심 요소를 추출하면 문제를 단순화하고 명확하게 표현할 수 있다</t>
    </r>
    <r>
      <rPr>
        <sz val="10"/>
        <rFont val="Malgun Gothic"/>
        <family val="0"/>
        <charset val="1"/>
      </rPr>
      <t xml:space="preserve">.</t>
    </r>
  </si>
  <si>
    <t xml:space="preserve">82</t>
  </si>
  <si>
    <t xml:space="preserve">ko-gold-5-02</t>
  </si>
  <si>
    <r>
      <rPr>
        <sz val="10"/>
        <rFont val="Noto Sans CJK SC"/>
        <family val="2"/>
      </rPr>
      <t xml:space="preserve">일상생활의 문제를 해결할 때도 알고리즘은 중요한 역할을 한다</t>
    </r>
    <r>
      <rPr>
        <sz val="10"/>
        <rFont val="Malgun Gothic"/>
        <family val="0"/>
        <charset val="1"/>
      </rPr>
      <t xml:space="preserve">.</t>
    </r>
  </si>
  <si>
    <t xml:space="preserve">ko-gold-5-03</t>
  </si>
  <si>
    <r>
      <rPr>
        <sz val="10"/>
        <rFont val="Noto Sans CJK SC"/>
        <family val="2"/>
      </rPr>
      <t xml:space="preserve">완성된 인공지능 모델을 활용하여 응용 프로그램을 만들어 보자</t>
    </r>
    <r>
      <rPr>
        <sz val="10"/>
        <rFont val="Malgun Gothic"/>
        <family val="0"/>
        <charset val="1"/>
      </rPr>
      <t xml:space="preserve">.</t>
    </r>
  </si>
  <si>
    <t xml:space="preserve">174</t>
  </si>
  <si>
    <t xml:space="preserve">ko-gold-5-04</t>
  </si>
  <si>
    <r>
      <rPr>
        <sz val="10"/>
        <rFont val="Noto Sans CJK SC"/>
        <family val="2"/>
      </rPr>
      <t xml:space="preserve">자원은 컴퓨팅 시스템이 작동하기 위한 하드웨어 또는 기능을 말한다</t>
    </r>
    <r>
      <rPr>
        <sz val="10"/>
        <rFont val="Malgun Gothic"/>
        <family val="0"/>
        <charset val="1"/>
      </rPr>
      <t xml:space="preserve">.</t>
    </r>
  </si>
  <si>
    <t xml:space="preserve">ko-gold-5-05</t>
  </si>
  <si>
    <r>
      <rPr>
        <sz val="10"/>
        <rFont val="Noto Sans CJK SC"/>
        <family val="2"/>
      </rPr>
      <t xml:space="preserve">웨어러블 컴퓨터는 몸에 부착하거나 착용하여 사용하는 컴퓨터를 말한다</t>
    </r>
    <r>
      <rPr>
        <sz val="10"/>
        <rFont val="Malgun Gothic"/>
        <family val="0"/>
        <charset val="1"/>
      </rPr>
      <t xml:space="preserve">.</t>
    </r>
  </si>
  <si>
    <t xml:space="preserve">ko-gold-5-06</t>
  </si>
  <si>
    <r>
      <rPr>
        <sz val="10"/>
        <rFont val="Noto Sans CJK SC"/>
        <family val="2"/>
      </rPr>
      <t xml:space="preserve">빅데이터는 디지털 환경에서 생성되는 다양한 종류의 대규모 데이터이다</t>
    </r>
    <r>
      <rPr>
        <sz val="10"/>
        <rFont val="Malgun Gothic"/>
        <family val="0"/>
        <charset val="1"/>
      </rPr>
      <t xml:space="preserve">.</t>
    </r>
  </si>
  <si>
    <t xml:space="preserve">ko-gold-5-07</t>
  </si>
  <si>
    <r>
      <rPr>
        <sz val="10"/>
        <rFont val="Noto Sans CJK SC"/>
        <family val="2"/>
      </rPr>
      <t xml:space="preserve">아날로그 데이터는 연속적인 값이고 디지털 데이터는 불연속적인 값이다</t>
    </r>
    <r>
      <rPr>
        <sz val="10"/>
        <rFont val="Malgun Gothic"/>
        <family val="0"/>
        <charset val="1"/>
      </rPr>
      <t xml:space="preserve">.</t>
    </r>
  </si>
  <si>
    <t xml:space="preserve">45</t>
  </si>
  <si>
    <t xml:space="preserve">ko-gold-5-08</t>
  </si>
  <si>
    <r>
      <rPr>
        <sz val="10"/>
        <rFont val="Noto Sans CJK SC"/>
        <family val="2"/>
      </rPr>
      <t xml:space="preserve">프로세스는 컴퓨팅 시스템에서 현재 실행 중인 프로그램이나 작업을 말한다</t>
    </r>
    <r>
      <rPr>
        <sz val="10"/>
        <rFont val="Malgun Gothic"/>
        <family val="0"/>
        <charset val="1"/>
      </rPr>
      <t xml:space="preserve">.</t>
    </r>
  </si>
  <si>
    <t xml:space="preserve">ko-gold-5-09</t>
  </si>
  <si>
    <r>
      <rPr>
        <sz val="10"/>
        <rFont val="Noto Sans CJK SC"/>
        <family val="2"/>
      </rPr>
      <t xml:space="preserve">저작물이란 인간의 사상 또는 감정을 독창적으로 표현한 창작물을 말한다</t>
    </r>
    <r>
      <rPr>
        <sz val="10"/>
        <rFont val="Malgun Gothic"/>
        <family val="0"/>
        <charset val="1"/>
      </rPr>
      <t xml:space="preserve">.</t>
    </r>
  </si>
  <si>
    <t xml:space="preserve">ko-gold-5-10</t>
  </si>
  <si>
    <r>
      <rPr>
        <sz val="10"/>
        <rFont val="Noto Sans CJK SC"/>
        <family val="2"/>
      </rPr>
      <t xml:space="preserve">추상화는 복잡한 것을 간결하고 이해하기 쉽도록 단순화하는 과정을 말한다</t>
    </r>
    <r>
      <rPr>
        <sz val="10"/>
        <rFont val="Malgun Gothic"/>
        <family val="0"/>
        <charset val="1"/>
      </rPr>
      <t xml:space="preserve">.</t>
    </r>
  </si>
  <si>
    <t xml:space="preserve">ko-diamond-1-01</t>
  </si>
  <si>
    <t xml:space="preserve">긴 문장</t>
  </si>
  <si>
    <r>
      <rPr>
        <sz val="10"/>
        <rFont val="Noto Sans CJK SC"/>
        <family val="2"/>
      </rPr>
      <t xml:space="preserve">디지털 사회가 고도화됨에 따라 사람들 간의 정보 격차가 커지고 있다</t>
    </r>
    <r>
      <rPr>
        <sz val="10"/>
        <rFont val="Malgun Gothic"/>
        <family val="0"/>
        <charset val="1"/>
      </rPr>
      <t xml:space="preserve">.</t>
    </r>
  </si>
  <si>
    <t xml:space="preserve">ko-diamond-1-02</t>
  </si>
  <si>
    <r>
      <rPr>
        <sz val="10"/>
        <rFont val="Noto Sans CJK SC"/>
        <family val="2"/>
      </rPr>
      <t xml:space="preserve">디지털 사회에서 스마트폰과 인터넷은 없어서는 안 될 필수품이 되었다</t>
    </r>
    <r>
      <rPr>
        <sz val="10"/>
        <rFont val="Malgun Gothic"/>
        <family val="0"/>
        <charset val="1"/>
      </rPr>
      <t xml:space="preserve">.</t>
    </r>
  </si>
  <si>
    <t xml:space="preserve">206</t>
  </si>
  <si>
    <t xml:space="preserve">ko-diamond-1-03</t>
  </si>
  <si>
    <r>
      <rPr>
        <sz val="10"/>
        <rFont val="Noto Sans CJK SC"/>
        <family val="2"/>
      </rPr>
      <t xml:space="preserve">파형은 물결처럼 위아래로 오르락내리락하는 음파나 전파 등의 모양을 말한다</t>
    </r>
    <r>
      <rPr>
        <sz val="10"/>
        <rFont val="Malgun Gothic"/>
        <family val="0"/>
        <charset val="1"/>
      </rPr>
      <t xml:space="preserve">.</t>
    </r>
  </si>
  <si>
    <t xml:space="preserve">ko-diamond-1-04</t>
  </si>
  <si>
    <r>
      <rPr>
        <sz val="10"/>
        <rFont val="Noto Sans CJK SC"/>
        <family val="2"/>
      </rPr>
      <t xml:space="preserve">쿠키는 특정 웹사이트에 접속해서 활동한 기록에 관한 정보 파일을 말한다</t>
    </r>
    <r>
      <rPr>
        <sz val="10"/>
        <rFont val="Malgun Gothic"/>
        <family val="0"/>
        <charset val="1"/>
      </rPr>
      <t xml:space="preserve">.</t>
    </r>
  </si>
  <si>
    <t xml:space="preserve">ko-diamond-1-05</t>
  </si>
  <si>
    <r>
      <rPr>
        <sz val="10"/>
        <rFont val="Noto Sans CJK SC"/>
        <family val="2"/>
      </rPr>
      <t xml:space="preserve">드라이버는 컴퓨터에 연결되는 주변 기기들을 사용하기 위해 필요한 프로그램이다</t>
    </r>
    <r>
      <rPr>
        <sz val="10"/>
        <rFont val="Malgun Gothic"/>
        <family val="0"/>
        <charset val="1"/>
      </rPr>
      <t xml:space="preserve">.</t>
    </r>
  </si>
  <si>
    <t xml:space="preserve">ko-diamond-1-06</t>
  </si>
  <si>
    <r>
      <rPr>
        <sz val="10"/>
        <rFont val="Noto Sans CJK SC"/>
        <family val="2"/>
      </rPr>
      <t xml:space="preserve">초고속 통신망은 다양한 데이터를 빠른 속도로 전송할 수 있는 기술을 말한다</t>
    </r>
    <r>
      <rPr>
        <sz val="10"/>
        <rFont val="Malgun Gothic"/>
        <family val="0"/>
        <charset val="1"/>
      </rPr>
      <t xml:space="preserve">.</t>
    </r>
  </si>
  <si>
    <t xml:space="preserve">ko-diamond-1-07</t>
  </si>
  <si>
    <r>
      <rPr>
        <sz val="10"/>
        <rFont val="Noto Sans CJK SC"/>
        <family val="2"/>
      </rPr>
      <t xml:space="preserve">디지털 사회로 빠르게 변화하면서 미래를 준비하는 청소년의 고민도 깊어지고 있다</t>
    </r>
    <r>
      <rPr>
        <sz val="10"/>
        <rFont val="Malgun Gothic"/>
        <family val="0"/>
        <charset val="1"/>
      </rPr>
      <t xml:space="preserve">.</t>
    </r>
  </si>
  <si>
    <t xml:space="preserve">200</t>
  </si>
  <si>
    <t xml:space="preserve">ko-diamond-1-08</t>
  </si>
  <si>
    <r>
      <rPr>
        <sz val="10"/>
        <rFont val="Noto Sans CJK SC"/>
        <family val="2"/>
      </rPr>
      <t xml:space="preserve">클래스는 동일한 유형의 데이터 묶음으로 데이터를 구분하는 이름이라고 할 수 있다</t>
    </r>
    <r>
      <rPr>
        <sz val="10"/>
        <rFont val="Malgun Gothic"/>
        <family val="0"/>
        <charset val="1"/>
      </rPr>
      <t xml:space="preserve">.</t>
    </r>
  </si>
  <si>
    <t xml:space="preserve">163</t>
  </si>
  <si>
    <t xml:space="preserve">ko-diamond-1-09</t>
  </si>
  <si>
    <r>
      <rPr>
        <sz val="10"/>
        <rFont val="Noto Sans CJK SC"/>
        <family val="2"/>
      </rPr>
      <t xml:space="preserve">시스템은 필요한 기능을 실현하기 위하여 관련 요소들을 모아 놓은 것을 말한다</t>
    </r>
    <r>
      <rPr>
        <sz val="10"/>
        <rFont val="Malgun Gothic"/>
        <family val="0"/>
        <charset val="1"/>
      </rPr>
      <t xml:space="preserve">.</t>
    </r>
  </si>
  <si>
    <t xml:space="preserve">ko-diamond-1-10</t>
  </si>
  <si>
    <r>
      <rPr>
        <sz val="10"/>
        <rFont val="Noto Sans CJK SC"/>
        <family val="2"/>
      </rPr>
      <t xml:space="preserve">입력은 값을 받아들이는 것으로 프로그램 내에서 계산하거나 처리하기 위해 사용한다</t>
    </r>
    <r>
      <rPr>
        <sz val="10"/>
        <rFont val="Malgun Gothic"/>
        <family val="0"/>
        <charset val="1"/>
      </rPr>
      <t xml:space="preserve">.</t>
    </r>
  </si>
  <si>
    <t xml:space="preserve">ko-diamond-2-01</t>
  </si>
  <si>
    <r>
      <rPr>
        <sz val="10"/>
        <rFont val="Noto Sans CJK SC"/>
        <family val="2"/>
      </rPr>
      <t xml:space="preserve">트리는 계층형의 다른 말로 데이터가 나뭇가지처럼 연결되어 있어 트리 구조라고 부른다</t>
    </r>
    <r>
      <rPr>
        <sz val="10"/>
        <rFont val="Malgun Gothic"/>
        <family val="0"/>
        <charset val="1"/>
      </rPr>
      <t xml:space="preserve">.</t>
    </r>
  </si>
  <si>
    <t xml:space="preserve">ko-diamond-2-02</t>
  </si>
  <si>
    <r>
      <rPr>
        <sz val="10"/>
        <rFont val="Noto Sans CJK SC"/>
        <family val="2"/>
      </rPr>
      <t xml:space="preserve">분류는 지도학습의 한 가지 방법으로 데이터를 기준에 맞게 나누어 학습하는 방법이다</t>
    </r>
    <r>
      <rPr>
        <sz val="10"/>
        <rFont val="Malgun Gothic"/>
        <family val="0"/>
        <charset val="1"/>
      </rPr>
      <t xml:space="preserve">.</t>
    </r>
  </si>
  <si>
    <t xml:space="preserve">ko-diamond-2-03</t>
  </si>
  <si>
    <r>
      <rPr>
        <sz val="10"/>
        <rFont val="Noto Sans CJK SC"/>
        <family val="2"/>
      </rPr>
      <t xml:space="preserve">로그는 컴퓨터의 처리 내용이나 이용 상황을 시간의 흐름에 따라 기록한 것을 말한다</t>
    </r>
    <r>
      <rPr>
        <sz val="10"/>
        <rFont val="Malgun Gothic"/>
        <family val="0"/>
        <charset val="1"/>
      </rPr>
      <t xml:space="preserve">.</t>
    </r>
  </si>
  <si>
    <t xml:space="preserve">ko-diamond-2-04</t>
  </si>
  <si>
    <r>
      <rPr>
        <sz val="10"/>
        <rFont val="Noto Sans CJK SC"/>
        <family val="2"/>
      </rPr>
      <t xml:space="preserve">인공지능 모델은 인공지능 알고리즘을 이용하여 추출된 특정 패턴을 구성한 것이다</t>
    </r>
    <r>
      <rPr>
        <sz val="10"/>
        <rFont val="Malgun Gothic"/>
        <family val="0"/>
        <charset val="1"/>
      </rPr>
      <t xml:space="preserve">.</t>
    </r>
  </si>
  <si>
    <t xml:space="preserve">ko-diamond-2-05</t>
  </si>
  <si>
    <r>
      <rPr>
        <sz val="10"/>
        <rFont val="Noto Sans CJK SC"/>
        <family val="2"/>
      </rPr>
      <t xml:space="preserve">피싱은 가짜 사이트에 사용자가 접속하도록 유도해 개인 정보를 탈취하는 범죄를 말한다</t>
    </r>
    <r>
      <rPr>
        <sz val="10"/>
        <rFont val="Malgun Gothic"/>
        <family val="0"/>
        <charset val="1"/>
      </rPr>
      <t xml:space="preserve">.</t>
    </r>
  </si>
  <si>
    <t xml:space="preserve">ko-diamond-2-06</t>
  </si>
  <si>
    <r>
      <rPr>
        <sz val="10"/>
        <rFont val="Noto Sans CJK SC"/>
        <family val="2"/>
      </rPr>
      <t xml:space="preserve">잔상 효과는 이미지가 사라진 후에도 일정 시간 계속 남아 있는 듯이 보이는 착시 현상을 말한다</t>
    </r>
    <r>
      <rPr>
        <sz val="10"/>
        <rFont val="Malgun Gothic"/>
        <family val="0"/>
        <charset val="1"/>
      </rPr>
      <t xml:space="preserve">.</t>
    </r>
  </si>
  <si>
    <t xml:space="preserve">ko-diamond-2-07</t>
  </si>
  <si>
    <r>
      <rPr>
        <sz val="10"/>
        <rFont val="Noto Sans CJK SC"/>
        <family val="2"/>
      </rPr>
      <t xml:space="preserve">의사 결정은 개인이나 조직이 문제를 해결하기 위해서 여러 대안 중에서 하나를 선택하는 과정이다</t>
    </r>
    <r>
      <rPr>
        <sz val="10"/>
        <rFont val="Malgun Gothic"/>
        <family val="0"/>
        <charset val="1"/>
      </rPr>
      <t xml:space="preserve">.</t>
    </r>
  </si>
  <si>
    <t xml:space="preserve">64</t>
  </si>
  <si>
    <t xml:space="preserve">ko-diamond-2-08</t>
  </si>
  <si>
    <r>
      <rPr>
        <sz val="10"/>
        <rFont val="Noto Sans CJK SC"/>
        <family val="2"/>
      </rPr>
      <t xml:space="preserve">컴퓨팅은 원하는 목적을 달성하기 위해 컴퓨터를 활용하거나 개발하는 모든 활동을 의미한다</t>
    </r>
    <r>
      <rPr>
        <sz val="10"/>
        <rFont val="Malgun Gothic"/>
        <family val="0"/>
        <charset val="1"/>
      </rPr>
      <t xml:space="preserve">.</t>
    </r>
  </si>
  <si>
    <t xml:space="preserve">ko-diamond-2-09</t>
  </si>
  <si>
    <r>
      <rPr>
        <sz val="10"/>
        <rFont val="Noto Sans CJK SC"/>
        <family val="2"/>
      </rPr>
      <t xml:space="preserve">가위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보 세 가지 손 모양을 분류하여 인식하는 인공지능 모델을 만들고 결과를 확인해 보자</t>
    </r>
    <r>
      <rPr>
        <sz val="10"/>
        <rFont val="Malgun Gothic"/>
        <family val="0"/>
        <charset val="1"/>
      </rPr>
      <t xml:space="preserve">.</t>
    </r>
  </si>
  <si>
    <t xml:space="preserve">166</t>
  </si>
  <si>
    <t xml:space="preserve">ko-diamond-2-10</t>
  </si>
  <si>
    <r>
      <rPr>
        <sz val="10"/>
        <rFont val="Noto Sans CJK SC"/>
        <family val="2"/>
      </rPr>
      <t xml:space="preserve">서보모터는 입력된 각도만큼 회전하는 정도를 조절할 수 있는 모터로 주차 차단기 등에 활용된다</t>
    </r>
    <r>
      <rPr>
        <sz val="10"/>
        <rFont val="Malgun Gothic"/>
        <family val="0"/>
        <charset val="1"/>
      </rPr>
      <t xml:space="preserve">.</t>
    </r>
  </si>
  <si>
    <t xml:space="preserve">ko-diamond-3-01</t>
  </si>
  <si>
    <r>
      <rPr>
        <sz val="10"/>
        <rFont val="Noto Sans CJK SC"/>
        <family val="2"/>
      </rPr>
      <t xml:space="preserve">사물 인터넷은 사물에 센서를 부착해 실시간 인터넷으로 데이터를 주고받는 기술이나 환경을 말한다</t>
    </r>
    <r>
      <rPr>
        <sz val="10"/>
        <rFont val="Malgun Gothic"/>
        <family val="0"/>
        <charset val="1"/>
      </rPr>
      <t xml:space="preserve">.</t>
    </r>
  </si>
  <si>
    <t xml:space="preserve">ko-diamond-3-02</t>
  </si>
  <si>
    <r>
      <rPr>
        <sz val="10"/>
        <rFont val="Noto Sans CJK SC"/>
        <family val="2"/>
      </rPr>
      <t xml:space="preserve">핀테크는 금융과 기술의 합성어로 모바일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빅데이터 등의 정보 기술을 기반으로 한 금융 서비스를 말한다</t>
    </r>
    <r>
      <rPr>
        <sz val="10"/>
        <rFont val="Malgun Gothic"/>
        <family val="0"/>
        <charset val="1"/>
      </rPr>
      <t xml:space="preserve">.</t>
    </r>
  </si>
  <si>
    <t xml:space="preserve">ko-diamond-3-03</t>
  </si>
  <si>
    <r>
      <rPr>
        <sz val="10"/>
        <rFont val="Noto Sans CJK SC"/>
        <family val="2"/>
      </rPr>
      <t xml:space="preserve">출력은 프로그램에서 처리한 결과를 외부로 전달하는 것으로 모니터에 표시하거나 스피커로 내보내는 것 등을 말한다</t>
    </r>
    <r>
      <rPr>
        <sz val="10"/>
        <rFont val="Malgun Gothic"/>
        <family val="0"/>
        <charset val="1"/>
      </rPr>
      <t xml:space="preserve">.</t>
    </r>
  </si>
  <si>
    <t xml:space="preserve">ko-diamond-3-04</t>
  </si>
  <si>
    <r>
      <rPr>
        <sz val="10"/>
        <rFont val="Noto Sans CJK SC"/>
        <family val="2"/>
      </rPr>
      <t xml:space="preserve">인간이 문제를 해결하는 방법과 유사하게 인공지능도 추론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학습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생성 등 지능적인 특성을 갖고 있다</t>
    </r>
    <r>
      <rPr>
        <sz val="10"/>
        <rFont val="Malgun Gothic"/>
        <family val="0"/>
        <charset val="1"/>
      </rPr>
      <t xml:space="preserve">.</t>
    </r>
  </si>
  <si>
    <t xml:space="preserve">148</t>
  </si>
  <si>
    <t xml:space="preserve">ko-diamond-3-05</t>
  </si>
  <si>
    <r>
      <rPr>
        <sz val="10"/>
        <rFont val="Noto Sans CJK SC"/>
        <family val="2"/>
      </rPr>
      <t xml:space="preserve">지능은 인간의 지적 능력을 일컫는 것으로 특정 지식이나 기술을 획득하거나 적용할 수 있는 능력을 말한다</t>
    </r>
    <r>
      <rPr>
        <sz val="10"/>
        <rFont val="Malgun Gothic"/>
        <family val="0"/>
        <charset val="1"/>
      </rPr>
      <t xml:space="preserve">.</t>
    </r>
  </si>
  <si>
    <t xml:space="preserve">ko-diamond-3-06</t>
  </si>
  <si>
    <r>
      <rPr>
        <sz val="10"/>
        <rFont val="Noto Sans CJK SC"/>
        <family val="2"/>
      </rPr>
      <t xml:space="preserve">함수를 사용할 때 특정 값을 받아서 전달하는 경우가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이때 전달하는 값을 받는 변수를 매개변수라고 한다</t>
    </r>
    <r>
      <rPr>
        <sz val="10"/>
        <rFont val="Malgun Gothic"/>
        <family val="0"/>
        <charset val="1"/>
      </rPr>
      <t xml:space="preserve">.</t>
    </r>
  </si>
  <si>
    <t xml:space="preserve">ko-diamond-3-07</t>
  </si>
  <si>
    <r>
      <rPr>
        <sz val="10"/>
        <rFont val="Noto Sans CJK SC"/>
        <family val="2"/>
      </rPr>
      <t xml:space="preserve">자동 채우기 핸들을 클릭한 후에 원하는 위치까지 드래그하면 정해진 규칙에 따라 계산되어 다른 셀에 자동으로 채워진다</t>
    </r>
    <r>
      <rPr>
        <sz val="10"/>
        <rFont val="Malgun Gothic"/>
        <family val="0"/>
        <charset val="1"/>
      </rPr>
      <t xml:space="preserve">.</t>
    </r>
  </si>
  <si>
    <t xml:space="preserve">71</t>
  </si>
  <si>
    <t xml:space="preserve">ko-diamond-3-08</t>
  </si>
  <si>
    <r>
      <rPr>
        <sz val="10"/>
        <rFont val="Noto Sans CJK SC"/>
        <family val="2"/>
      </rPr>
      <t xml:space="preserve">인공지능은 사회 문제 해결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개인화된 경험 제공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지식과 정보의 확장 등 우리 주변에서 다양한 역할을 하고 있다</t>
    </r>
    <r>
      <rPr>
        <sz val="10"/>
        <rFont val="Malgun Gothic"/>
        <family val="0"/>
        <charset val="1"/>
      </rPr>
      <t xml:space="preserve">.</t>
    </r>
  </si>
  <si>
    <t xml:space="preserve">178</t>
  </si>
  <si>
    <t xml:space="preserve">ko-diamond-3-09</t>
  </si>
  <si>
    <r>
      <rPr>
        <sz val="10"/>
        <rFont val="Noto Sans CJK SC"/>
        <family val="2"/>
      </rPr>
      <t xml:space="preserve">앱은 애플리케이션의 약어로 스마트폰이나 태블릿 등에서 사용자의 편의를 위해 개발된 다양한 응용 프로그램을 말한다</t>
    </r>
    <r>
      <rPr>
        <sz val="10"/>
        <rFont val="Malgun Gothic"/>
        <family val="0"/>
        <charset val="1"/>
      </rPr>
      <t xml:space="preserve">.</t>
    </r>
  </si>
  <si>
    <t xml:space="preserve">ko-diamond-3-10</t>
  </si>
  <si>
    <r>
      <rPr>
        <sz val="10"/>
        <rFont val="Noto Sans CJK SC"/>
        <family val="2"/>
      </rPr>
      <t xml:space="preserve">유니코드는 전 세계 모든 문자를 표현할 수 있도록 개발된 문자 부호 체계로 아스키 코드보다 더 많은 문자를 표현할 수 있다</t>
    </r>
    <r>
      <rPr>
        <sz val="10"/>
        <rFont val="Malgun Gothic"/>
        <family val="0"/>
        <charset val="1"/>
      </rPr>
      <t xml:space="preserve">.</t>
    </r>
  </si>
  <si>
    <t xml:space="preserve">ko-diamond-4-01</t>
  </si>
  <si>
    <r>
      <rPr>
        <sz val="10"/>
        <rFont val="Noto Sans CJK SC"/>
        <family val="2"/>
      </rPr>
      <t xml:space="preserve">전원이 들어오면 보조 기억 장치에 저장되어 있는 운영체제가 주기억 장치로 옮겨져 중앙 처리 장치에 의해 동작을 준비한다</t>
    </r>
    <r>
      <rPr>
        <sz val="10"/>
        <rFont val="Malgun Gothic"/>
        <family val="0"/>
        <charset val="1"/>
      </rPr>
      <t xml:space="preserve">.</t>
    </r>
  </si>
  <si>
    <t xml:space="preserve">ko-diamond-4-02</t>
  </si>
  <si>
    <r>
      <rPr>
        <sz val="10"/>
        <rFont val="Noto Sans CJK SC"/>
        <family val="2"/>
      </rPr>
      <t xml:space="preserve">소연이는 출석을 부르는 선생님을 보며 자동으로 출석을 확인해 주는 인공지능 시스템이 있으면 좋겠다는 생각을 하였다</t>
    </r>
    <r>
      <rPr>
        <sz val="10"/>
        <rFont val="Malgun Gothic"/>
        <family val="0"/>
        <charset val="1"/>
      </rPr>
      <t xml:space="preserve">.</t>
    </r>
  </si>
  <si>
    <t xml:space="preserve">172</t>
  </si>
  <si>
    <t xml:space="preserve">ko-diamond-4-03</t>
  </si>
  <si>
    <r>
      <rPr>
        <sz val="10"/>
        <rFont val="Noto Sans CJK SC"/>
        <family val="2"/>
      </rPr>
      <t xml:space="preserve">시뮬레이션은 실제로 실행하기 어려운 과정을 실제와 비슷한 모형으로 만들어 모의실험하여 그 특성을 파악하는 것을 말한다</t>
    </r>
    <r>
      <rPr>
        <sz val="10"/>
        <rFont val="Malgun Gothic"/>
        <family val="0"/>
        <charset val="1"/>
      </rPr>
      <t xml:space="preserve">.</t>
    </r>
  </si>
  <si>
    <t xml:space="preserve">ko-diamond-4-04</t>
  </si>
  <si>
    <r>
      <rPr>
        <sz val="10"/>
        <rFont val="Noto Sans CJK SC"/>
        <family val="2"/>
      </rPr>
      <t xml:space="preserve">컴퓨팅 시스템에서 효율적인 알고리즘을 설계하기 위해서는 처리 시간 또는 저장 공간이 적게 소요되는 알고리즘을 설계해야 한다</t>
    </r>
    <r>
      <rPr>
        <sz val="10"/>
        <rFont val="Malgun Gothic"/>
        <family val="0"/>
        <charset val="1"/>
      </rPr>
      <t xml:space="preserve">.</t>
    </r>
  </si>
  <si>
    <t xml:space="preserve">ko-diamond-4-05</t>
  </si>
  <si>
    <r>
      <rPr>
        <sz val="10"/>
        <rFont val="Noto Sans CJK SC"/>
        <family val="2"/>
      </rPr>
      <t xml:space="preserve">생성형 인공지능은 문자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소리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이미지 등 기존의 콘텐츠를 활용해 유사한 콘텐츠를 새로 만들어 내는 인공지능 기술을 말한다</t>
    </r>
    <r>
      <rPr>
        <sz val="10"/>
        <rFont val="Malgun Gothic"/>
        <family val="0"/>
        <charset val="1"/>
      </rPr>
      <t xml:space="preserve">.</t>
    </r>
  </si>
  <si>
    <t xml:space="preserve">149</t>
  </si>
  <si>
    <t xml:space="preserve">ko-diamond-4-06</t>
  </si>
  <si>
    <r>
      <rPr>
        <sz val="10"/>
        <rFont val="Noto Sans CJK SC"/>
        <family val="2"/>
      </rPr>
      <t xml:space="preserve">증강 현실은 현실 세계에 존재하는 사물이나 환경에 가상의 사물이나 환경을 덧입혀서 마치 실제로 존재하는 것처럼 보여주는 기술이다</t>
    </r>
    <r>
      <rPr>
        <sz val="10"/>
        <rFont val="Malgun Gothic"/>
        <family val="0"/>
        <charset val="1"/>
      </rPr>
      <t xml:space="preserve">.</t>
    </r>
  </si>
  <si>
    <t xml:space="preserve">ko-diamond-4-07</t>
  </si>
  <si>
    <r>
      <rPr>
        <sz val="10"/>
        <rFont val="Noto Sans CJK SC"/>
        <family val="2"/>
      </rPr>
      <t xml:space="preserve">계단 현상은 비트맵 방식의 그림을 확대하면 픽셀의 사각형 모양이 확대되면서 계단이나 톱니처럼 각이 지게 보이는 현상을 말한다</t>
    </r>
    <r>
      <rPr>
        <sz val="10"/>
        <rFont val="Malgun Gothic"/>
        <family val="0"/>
        <charset val="1"/>
      </rPr>
      <t xml:space="preserve">.</t>
    </r>
  </si>
  <si>
    <t xml:space="preserve">ko-diamond-4-08</t>
  </si>
  <si>
    <r>
      <rPr>
        <sz val="10"/>
        <rFont val="Noto Sans CJK SC"/>
        <family val="2"/>
      </rPr>
      <t xml:space="preserve">스마트 시티는 디지털 기술을 이용해 도시의 다양한 문제를 해결하고 시민이 편리하고 쾌적한 삶을 누릴 수 있도록 한 도시 모델을 말한다</t>
    </r>
    <r>
      <rPr>
        <sz val="10"/>
        <rFont val="Malgun Gothic"/>
        <family val="0"/>
        <charset val="1"/>
      </rPr>
      <t xml:space="preserve">.</t>
    </r>
  </si>
  <si>
    <t xml:space="preserve">ko-diamond-4-09</t>
  </si>
  <si>
    <r>
      <rPr>
        <sz val="10"/>
        <rFont val="Noto Sans CJK SC"/>
        <family val="2"/>
      </rPr>
      <t xml:space="preserve">모델은 누구나 이해할 수 있도록 수식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그림 등의 약속된 방식을 사용하여 표현하는 것으로 복잡한 현실 세계를 단순화하는 작업이다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</si>
  <si>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괄호 낱말 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용어 풀이를 문장으로 바꿈</t>
    </r>
  </si>
  <si>
    <t xml:space="preserve">ko-diamond-4-10</t>
  </si>
  <si>
    <r>
      <rPr>
        <sz val="10"/>
        <rFont val="Noto Sans CJK SC"/>
        <family val="2"/>
      </rPr>
      <t xml:space="preserve">메타버스는 현실에서 가능한 사회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경제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교육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과학 기술 등의 활동을 아바타로 할 수 있도록 지원하는 가상의 공간을 말한다</t>
    </r>
    <r>
      <rPr>
        <sz val="10"/>
        <rFont val="Malgun Gothic"/>
        <family val="0"/>
        <charset val="1"/>
      </rPr>
      <t xml:space="preserve">.</t>
    </r>
  </si>
  <si>
    <t xml:space="preserve">ko-diamond-5-01</t>
  </si>
  <si>
    <r>
      <rPr>
        <sz val="10"/>
        <rFont val="Noto Sans CJK SC"/>
        <family val="2"/>
      </rPr>
      <t xml:space="preserve">스프레드시트는 행과 열로 이루어진 표로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셀이라는 칸에 데이터를 입력하여 계산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비교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검색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도표 작업 등을 할 수 있는 응용 프로그램이다</t>
    </r>
    <r>
      <rPr>
        <sz val="10"/>
        <rFont val="Malgun Gothic"/>
        <family val="0"/>
        <charset val="1"/>
      </rPr>
      <t xml:space="preserve">.</t>
    </r>
  </si>
  <si>
    <t xml:space="preserve">53</t>
  </si>
  <si>
    <t xml:space="preserve">ko-diamond-5-02</t>
  </si>
  <si>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차적 저작물은 원 저작물을 번역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편곡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변형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각색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영상 제작 등 다양한 방법으로 작성한 창작물로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독립된 저작물로 보호받는다</t>
    </r>
    <r>
      <rPr>
        <sz val="10"/>
        <rFont val="Malgun Gothic"/>
        <family val="0"/>
        <charset val="1"/>
      </rPr>
      <t xml:space="preserve">.</t>
    </r>
  </si>
  <si>
    <t xml:space="preserve">ko-diamond-5-03</t>
  </si>
  <si>
    <r>
      <rPr>
        <sz val="10"/>
        <rFont val="Noto Sans CJK SC"/>
        <family val="2"/>
      </rPr>
      <t xml:space="preserve">블록체인은 디지털 정보를 임의로 수정할 수 없도록 데이터를 블록으로 만들고 체인 형태로 연결하여 여러 컴퓨팅 시스템에 저장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관리하는 기술을 말한다</t>
    </r>
    <r>
      <rPr>
        <sz val="10"/>
        <rFont val="Malgun Gothic"/>
        <family val="0"/>
        <charset val="1"/>
      </rPr>
      <t xml:space="preserve">.</t>
    </r>
  </si>
  <si>
    <t xml:space="preserve">ko-diamond-5-04</t>
  </si>
  <si>
    <r>
      <rPr>
        <sz val="10"/>
        <rFont val="Noto Sans CJK SC"/>
        <family val="2"/>
      </rPr>
      <t xml:space="preserve">유틸리티 소프트웨어는 사용자가 컴퓨팅 시스템을 좀 더 쉽고 편리하게 사용할 수 있도록 도와주기 위해 개발된 소프트웨어로 백신 프로그램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파일 탐색기 등이 있다</t>
    </r>
    <r>
      <rPr>
        <sz val="10"/>
        <rFont val="Malgun Gothic"/>
        <family val="0"/>
        <charset val="1"/>
      </rPr>
      <t xml:space="preserve">.</t>
    </r>
  </si>
  <si>
    <t xml:space="preserve">ko-diamond-5-05</t>
  </si>
  <si>
    <r>
      <rPr>
        <sz val="10"/>
        <rFont val="Noto Sans CJK SC"/>
        <family val="2"/>
      </rPr>
      <t xml:space="preserve">마이크로컨트롤러는 피지컬 컴퓨팅 시스템의 처리 장치로 중앙 처리 장치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기억 장치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입출력 모듈을 하나의 칩으로 만들어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정해진 기능을 수행하는 작은 컴퓨터이다</t>
    </r>
    <r>
      <rPr>
        <sz val="10"/>
        <rFont val="Malgun Gothic"/>
        <family val="0"/>
        <charset val="1"/>
      </rPr>
      <t xml:space="preserve">.</t>
    </r>
  </si>
  <si>
    <t xml:space="preserve">ko-diamond-5-06</t>
  </si>
  <si>
    <r>
      <rPr>
        <sz val="10"/>
        <rFont val="Noto Sans CJK SC"/>
        <family val="2"/>
      </rPr>
      <t xml:space="preserve">디자인 싱킹은 실생활 문제를 사람 중심으로 이해하여 문제를 정의하고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제품의 개발과 테스트 과정을 반복하여 최선의 답을 찾는 창의적인 문제 해결 방법이다</t>
    </r>
    <r>
      <rPr>
        <sz val="10"/>
        <rFont val="Malgun Gothic"/>
        <family val="0"/>
        <charset val="1"/>
      </rPr>
      <t xml:space="preserve">.</t>
    </r>
  </si>
  <si>
    <t xml:space="preserve">ko-diamond-5-07</t>
  </si>
  <si>
    <r>
      <rPr>
        <sz val="10"/>
        <rFont val="Noto Sans CJK SC"/>
        <family val="2"/>
      </rPr>
      <t xml:space="preserve">중독은 스마트폰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인터넷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게임 등의 사용과 관련하여 스스로 통제가 불가능하고 과도한 집착이나 충동적인 행동을 보이며 일상생활에 지장이 생기는 상태를 말한다</t>
    </r>
    <r>
      <rPr>
        <sz val="10"/>
        <rFont val="Malgun Gothic"/>
        <family val="0"/>
        <charset val="1"/>
      </rPr>
      <t xml:space="preserve">.</t>
    </r>
  </si>
  <si>
    <t xml:space="preserve">ko-diamond-5-08</t>
  </si>
  <si>
    <r>
      <rPr>
        <sz val="10"/>
        <rFont val="Noto Sans CJK SC"/>
        <family val="2"/>
      </rPr>
      <t xml:space="preserve">인간의 지능적인 특징은 새로운 것을 배우고 습득하는 학습 능력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이미 알고 있는 정보로부터 논리적인 결론을 찾아내는 추론 능력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감각 기관으로 사물에 대해 이해하는 지각 능력을 말한다</t>
    </r>
    <r>
      <rPr>
        <sz val="10"/>
        <rFont val="Malgun Gothic"/>
        <family val="0"/>
        <charset val="1"/>
      </rPr>
      <t xml:space="preserve">.</t>
    </r>
  </si>
  <si>
    <t xml:space="preserve">ko-diamond-5-09</t>
  </si>
  <si>
    <r>
      <rPr>
        <sz val="10"/>
        <rFont val="Noto Sans CJK SC"/>
        <family val="2"/>
      </rPr>
      <t xml:space="preserve">정보 격차는 사회적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경제적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지역적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신체적 여건 등으로 인해 디지털 기기나 관련 소프트웨어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온라인 서비스를 이용할 수 있는 계층과 그렇지 못한 소외 계층 사이에 생기는 불균형 현상을 말한다</t>
    </r>
    <r>
      <rPr>
        <sz val="10"/>
        <rFont val="Malgun Gothic"/>
        <family val="0"/>
        <charset val="1"/>
      </rPr>
      <t xml:space="preserve">.</t>
    </r>
  </si>
  <si>
    <t xml:space="preserve">ko-diamond-5-10</t>
  </si>
  <si>
    <r>
      <rPr>
        <sz val="10"/>
        <rFont val="Noto Sans CJK SC"/>
        <family val="2"/>
      </rPr>
      <t xml:space="preserve">분산 서비스 거부 공격은 감염된 대량의 컴퓨팅 시스템을 이용해 공격 대상의 시스템이나 네트워크를 중단시킴으로써 웹 사이트 및 서버를 정상적으로 이용할 수 없도록 만드는 사이버 범죄를 말한다</t>
    </r>
    <r>
      <rPr>
        <sz val="10"/>
        <rFont val="Malgun Gothic"/>
        <family val="0"/>
        <charset val="1"/>
      </rPr>
      <t xml:space="preserve">.</t>
    </r>
  </si>
  <si>
    <t xml:space="preserve">ko-master-1-01</t>
  </si>
  <si>
    <t xml:space="preserve">문단</t>
  </si>
  <si>
    <r>
      <rPr>
        <sz val="10"/>
        <rFont val="Noto Sans CJK SC"/>
        <family val="2"/>
      </rPr>
      <t xml:space="preserve">문자를 디지털 형태로 표현하기 위해서는 문자별로 약속된 이진수 형태의 문자 코드를 사용한다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대표적으로 아스키 코드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유니코드 등이 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</si>
  <si>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소제목 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영문 괄호 뺌</t>
    </r>
  </si>
  <si>
    <t xml:space="preserve">ko-master-1-02</t>
  </si>
  <si>
    <r>
      <rPr>
        <sz val="10"/>
        <rFont val="Noto Sans CJK SC"/>
        <family val="2"/>
      </rPr>
      <t xml:space="preserve">방학 때 하고 싶은 일을 생각해 보고 리스트를 활용한 프로그램을 작성해 보자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소망 목록 리스트를 만들고 초깃값으로 여행 가기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책 읽기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자전거 타기를 입력한다</t>
    </r>
    <r>
      <rPr>
        <sz val="10"/>
        <rFont val="Malgun Gothic"/>
        <family val="0"/>
        <charset val="1"/>
      </rPr>
      <t xml:space="preserve">.</t>
    </r>
  </si>
  <si>
    <t xml:space="preserve">104</t>
  </si>
  <si>
    <t xml:space="preserve">따옴표 뺌</t>
  </si>
  <si>
    <t xml:space="preserve">ko-master-1-03</t>
  </si>
  <si>
    <r>
      <rPr>
        <sz val="10"/>
        <rFont val="Noto Sans CJK SC"/>
        <family val="2"/>
      </rPr>
      <t xml:space="preserve">프로그래밍에서 숫자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문자 등의 데이터를 저장할 때 변수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리스트 등을 사용한다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변수는 하나의 데이터를 저장하며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리스트는 여러 개의 데이터를 순차적으로 저장한다</t>
    </r>
    <r>
      <rPr>
        <sz val="10"/>
        <rFont val="Malgun Gothic"/>
        <family val="0"/>
        <charset val="1"/>
      </rPr>
      <t xml:space="preserve">.</t>
    </r>
  </si>
  <si>
    <t xml:space="preserve">ko-master-1-04</t>
  </si>
  <si>
    <r>
      <rPr>
        <sz val="10"/>
        <rFont val="Noto Sans CJK SC"/>
        <family val="2"/>
      </rPr>
      <t xml:space="preserve">편지봉투 모양이 여러 개 반복되는 프로그램을 만들고자 할 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반복되는 부분을 함수로 만들어 사용하면 편리하다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편지봉투 모양을 함수로 만들어 여러 번 사용해 보자</t>
    </r>
    <r>
      <rPr>
        <sz val="10"/>
        <rFont val="Malgun Gothic"/>
        <family val="0"/>
        <charset val="1"/>
      </rPr>
      <t xml:space="preserve">.</t>
    </r>
  </si>
  <si>
    <t xml:space="preserve">119</t>
  </si>
  <si>
    <t xml:space="preserve">소제목 뺌</t>
  </si>
  <si>
    <t xml:space="preserve">ko-master-1-05</t>
  </si>
  <si>
    <r>
      <rPr>
        <sz val="10"/>
        <rFont val="Noto Sans CJK SC"/>
        <family val="2"/>
      </rPr>
      <t xml:space="preserve">놀이공원에서 놀이 기구를 타려고 하는데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키에 따라 탑승에 제한이 있다고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탑승자의 키를 입력하면 놀이 기구를 탈 수 있는지 자동으로 안내하는 프로그램을 작성해 보자</t>
    </r>
    <r>
      <rPr>
        <sz val="10"/>
        <rFont val="Malgun Gothic"/>
        <family val="0"/>
        <charset val="1"/>
      </rPr>
      <t xml:space="preserve">.</t>
    </r>
  </si>
  <si>
    <t xml:space="preserve">110</t>
  </si>
  <si>
    <t xml:space="preserve">ko-master-1-06</t>
  </si>
  <si>
    <r>
      <rPr>
        <sz val="10"/>
        <rFont val="Noto Sans CJK SC"/>
        <family val="2"/>
      </rPr>
      <t xml:space="preserve">이미지를 디지털 형태로 표현하는 방법에는 비트맵 방식과 벡터 방식이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비트맵 방식은 이미지를 픽셀이라는 작은 점으로 표현하고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벡터 방식은 수학적 연산으로 표현한다</t>
    </r>
    <r>
      <rPr>
        <sz val="10"/>
        <rFont val="Malgun Gothic"/>
        <family val="0"/>
        <charset val="1"/>
      </rPr>
      <t xml:space="preserve">.</t>
    </r>
  </si>
  <si>
    <t xml:space="preserve">ko-master-1-07</t>
  </si>
  <si>
    <r>
      <rPr>
        <sz val="10"/>
        <rFont val="Noto Sans CJK SC"/>
        <family val="2"/>
      </rPr>
      <t xml:space="preserve">디버깅은 프로그램 개발 단계 중에 발생하는 논리적인 오류나 비정상적인 연산 등을 찾아내어 그 원인을 밝히고 수정하는 과정을 뜻한다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다음 프로그램에서 오류를 찾아 수정해 보자</t>
    </r>
    <r>
      <rPr>
        <sz val="10"/>
        <rFont val="Malgun Gothic"/>
        <family val="0"/>
        <charset val="1"/>
      </rPr>
      <t xml:space="preserve">.</t>
    </r>
  </si>
  <si>
    <t xml:space="preserve">124</t>
  </si>
  <si>
    <t xml:space="preserve">ko-master-1-08</t>
  </si>
  <si>
    <r>
      <rPr>
        <sz val="10"/>
        <rFont val="Noto Sans CJK SC"/>
        <family val="2"/>
      </rPr>
      <t xml:space="preserve">이미 만들어 놓은 함수는 재사용이 가능하다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만들어 놓은 함수를 사용하여 화면에 노란색 편지봉투를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개 그리는 프로그램을 작성해 보자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함수는 여러 가지 형태로 다양하게 응용할 수 있다</t>
    </r>
    <r>
      <rPr>
        <sz val="10"/>
        <rFont val="Malgun Gothic"/>
        <family val="0"/>
        <charset val="1"/>
      </rPr>
      <t xml:space="preserve">.</t>
    </r>
  </si>
  <si>
    <t xml:space="preserve">121, 122</t>
  </si>
  <si>
    <t xml:space="preserve">ko-master-2-01</t>
  </si>
  <si>
    <r>
      <rPr>
        <sz val="10"/>
        <rFont val="Noto Sans CJK SC"/>
        <family val="2"/>
      </rPr>
      <t xml:space="preserve">완성된 프로그램을 실행시켜 보고 오류가 있는지 확인한다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오류가 있다면 그 원인과 해결 방법을 찾아 오류를 해결하는 디버깅 과정을 거친다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그리고 다른 모둠과 완성된 프로그램을 공유한다</t>
    </r>
    <r>
      <rPr>
        <sz val="10"/>
        <rFont val="Malgun Gothic"/>
        <family val="0"/>
        <charset val="1"/>
      </rPr>
      <t xml:space="preserve">.</t>
    </r>
  </si>
  <si>
    <t xml:space="preserve">131</t>
  </si>
  <si>
    <t xml:space="preserve">ko-master-2-02</t>
  </si>
  <si>
    <r>
      <rPr>
        <sz val="10"/>
        <rFont val="Noto Sans CJK SC"/>
        <family val="2"/>
      </rPr>
      <t xml:space="preserve">석준이네 반은 학급 회장 선거를 하려고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투표 용지에 직접 손으로 투표를 진행하면 준비 과정이 복잡하고 개표에도 시간이 오래 걸린다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전자 투표 프로그램을 만들어 효율적인 선거를 진행해 보자</t>
    </r>
    <r>
      <rPr>
        <sz val="10"/>
        <rFont val="Malgun Gothic"/>
        <family val="0"/>
        <charset val="1"/>
      </rPr>
      <t xml:space="preserve">.</t>
    </r>
  </si>
  <si>
    <t xml:space="preserve">126</t>
  </si>
  <si>
    <t xml:space="preserve">ko-master-2-03</t>
  </si>
  <si>
    <r>
      <rPr>
        <sz val="10"/>
        <rFont val="Noto Sans CJK SC"/>
        <family val="2"/>
      </rPr>
      <t xml:space="preserve">함수는 어떤 특별한 작업을 수행하도록 여러 개의 명령을 하나로 묶어서 이름을 부여한 것이다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반복적으로 사용되는 일을 함수로 만들어 놓으면 필요할 때마다 함수를 호출하여 편리하게 사용할 수 있다</t>
    </r>
    <r>
      <rPr>
        <sz val="10"/>
        <rFont val="Malgun Gothic"/>
        <family val="0"/>
        <charset val="1"/>
      </rPr>
      <t xml:space="preserve">.</t>
    </r>
  </si>
  <si>
    <t xml:space="preserve">ko-master-2-04</t>
  </si>
  <si>
    <r>
      <rPr>
        <sz val="10"/>
        <rFont val="Noto Sans CJK SC"/>
        <family val="2"/>
      </rPr>
      <t xml:space="preserve">핵심 요소 추출은 문제 해결을 위해 필요한 정보나 요소를 찾아내는 것을 말한다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핵심 요소를 추출하면 문제를 단순화하고 명확하게 표현할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또한 핵심 요소를 바탕으로 알고리즘을 만들 수 있다</t>
    </r>
    <r>
      <rPr>
        <sz val="10"/>
        <rFont val="Malgun Gothic"/>
        <family val="0"/>
        <charset val="1"/>
      </rPr>
      <t xml:space="preserve">.</t>
    </r>
  </si>
  <si>
    <t xml:space="preserve">ko-master-2-05</t>
  </si>
  <si>
    <r>
      <rPr>
        <sz val="10"/>
        <rFont val="Noto Sans CJK SC"/>
        <family val="2"/>
      </rPr>
      <t xml:space="preserve">데이터 분석 결과를 활용하여 학급 친구들에게 자신의 키에 맞는 체력이 어느 정도인지 확인할 수 있도록 데이터를 공유하고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이를 바탕으로 각자가 체력이 부족한 부위를 단련하는 운동 계획을 세울 수 있게 안내하자</t>
    </r>
    <r>
      <rPr>
        <sz val="10"/>
        <rFont val="Malgun Gothic"/>
        <family val="0"/>
        <charset val="1"/>
      </rPr>
      <t xml:space="preserve">.</t>
    </r>
  </si>
  <si>
    <t xml:space="preserve">72</t>
  </si>
  <si>
    <t xml:space="preserve">ko-master-2-06</t>
  </si>
  <si>
    <r>
      <rPr>
        <sz val="10"/>
        <rFont val="Noto Sans CJK SC"/>
        <family val="2"/>
      </rPr>
      <t xml:space="preserve">센서 보드는 컴퓨터와 연결하여 다양한 센서와 액추에이터를 제어할 수 있는 장치이다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하나의 회로 기판에 여러 개의 센서가 부착되어 있는 센서 보드는 다양한 값을 입력받아 프로그래밍으로 제어하기 쉽다는 장점이 있다</t>
    </r>
    <r>
      <rPr>
        <sz val="10"/>
        <rFont val="Malgun Gothic"/>
        <family val="0"/>
        <charset val="1"/>
      </rPr>
      <t xml:space="preserve">.</t>
    </r>
  </si>
  <si>
    <t xml:space="preserve">ko-master-2-07</t>
  </si>
  <si>
    <r>
      <rPr>
        <sz val="10"/>
        <rFont val="Noto Sans CJK SC"/>
        <family val="2"/>
      </rPr>
      <t xml:space="preserve">센서는 물체의 움직임이나 측정값을 입력받는 장치로 감각 기관과 비슷한 역할을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센서에는 소리의 크기를 감지하는 소리 센서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물체의 거리를 측정하는 거리 센서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빛의 밝기를 감지하는 빛 센서 등이 있다</t>
    </r>
    <r>
      <rPr>
        <sz val="10"/>
        <rFont val="Malgun Gothic"/>
        <family val="0"/>
        <charset val="1"/>
      </rPr>
      <t xml:space="preserve">.</t>
    </r>
  </si>
  <si>
    <t xml:space="preserve">ko-master-3-01</t>
  </si>
  <si>
    <r>
      <rPr>
        <sz val="10"/>
        <rFont val="Noto Sans CJK SC"/>
        <family val="2"/>
      </rPr>
      <t xml:space="preserve">신발 가게에 신발을 사기 위해 두 명의 손님이 왔다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한 쪽은 정리가 되지 않아 뒤죽박죽이고 다른 한쪽은 크기순으로 정리되어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어느 쪽에서 어떻게 찾아야 원하는 크기의 신발을 빨리 찾을 수 있을지 생각해 보자</t>
    </r>
    <r>
      <rPr>
        <sz val="10"/>
        <rFont val="Malgun Gothic"/>
        <family val="0"/>
        <charset val="1"/>
      </rPr>
      <t xml:space="preserve">.</t>
    </r>
  </si>
  <si>
    <t xml:space="preserve">94</t>
  </si>
  <si>
    <t xml:space="preserve">ko-master-3-02</t>
  </si>
  <si>
    <r>
      <rPr>
        <sz val="10"/>
        <rFont val="Noto Sans CJK SC"/>
        <family val="2"/>
      </rPr>
      <t xml:space="preserve">와이파이 신호 세기에 따라 결과가 달라지는 프로그램을 작성하기 위해서는 반환값을 사용해야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함수의 사용이 완료되었을 때의 결괏값을 반환값이라고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반환값은 함수에 따라 있을 수도 있고 없을 수도 있다</t>
    </r>
    <r>
      <rPr>
        <sz val="10"/>
        <rFont val="Malgun Gothic"/>
        <family val="0"/>
        <charset val="1"/>
      </rPr>
      <t xml:space="preserve">.</t>
    </r>
  </si>
  <si>
    <t xml:space="preserve">ko-master-3-03</t>
  </si>
  <si>
    <r>
      <rPr>
        <sz val="10"/>
        <rFont val="Noto Sans CJK SC"/>
        <family val="2"/>
      </rPr>
      <t xml:space="preserve">디지털 윤리란 디지털 기술을 활용할 때 자신의 감정을 조절하고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타인을 존중하여 긍정적 사회관계를 형성할 수 있는 기본 소양을 말한다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건전한 디지털 사회를 만들기 위해서는 디지털 윤리를 실천하려는 노력이 중요하다</t>
    </r>
    <r>
      <rPr>
        <sz val="10"/>
        <rFont val="Malgun Gothic"/>
        <family val="0"/>
        <charset val="1"/>
      </rPr>
      <t xml:space="preserve">.</t>
    </r>
  </si>
  <si>
    <t xml:space="preserve">ko-master-3-04</t>
  </si>
  <si>
    <r>
      <rPr>
        <sz val="10"/>
        <rFont val="Noto Sans CJK SC"/>
        <family val="2"/>
      </rPr>
      <t xml:space="preserve">빅데이터 전문가는 대량의 데이터로 사람들의 행동이나 시장의 변화 등을 분석하는 데 도움이 되는 정보를 제공하는 일을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실시간으로 데이터를 수집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저장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분석하고 시각화하여 의미 있는 분석 결과를 도출하고 이를 공유한다</t>
    </r>
    <r>
      <rPr>
        <sz val="10"/>
        <rFont val="Malgun Gothic"/>
        <family val="0"/>
        <charset val="1"/>
      </rPr>
      <t xml:space="preserve">.</t>
    </r>
  </si>
  <si>
    <t xml:space="preserve">가운뎃점을 쉼표로</t>
  </si>
  <si>
    <t xml:space="preserve">ko-master-3-05</t>
  </si>
  <si>
    <r>
      <rPr>
        <sz val="10"/>
        <rFont val="Noto Sans CJK SC"/>
        <family val="2"/>
      </rPr>
      <t xml:space="preserve">빅데이터 전문가가 되기 위해서는 통계적인 이론과 복잡한 프로그램에 대한 이해뿐만 아니라 다양한 관점에서 문제를 의식하는 수리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논리력이 필요하다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데이터의 구조를 이해하고 분석하는 데 필요한 시각화를 위해 공간 지각 능력도 필요하다</t>
    </r>
    <r>
      <rPr>
        <sz val="10"/>
        <rFont val="Malgun Gothic"/>
        <family val="0"/>
        <charset val="1"/>
      </rPr>
      <t xml:space="preserve">.</t>
    </r>
  </si>
  <si>
    <t xml:space="preserve">ko-master-3-06</t>
  </si>
  <si>
    <r>
      <rPr>
        <sz val="10"/>
        <rFont val="Noto Sans CJK SC"/>
        <family val="2"/>
      </rPr>
      <t xml:space="preserve">비교 연산은 두 값의 크기를 비교하여 참 또는 거짓의 형태로 결과를 나타내는 연산이다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산술 연산은 덧셈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뺄셈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곱셈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나눗셈 등 숫자를 이용하는 연산이다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논리 연산은 조건을 논리적으로 판단하여 참과 거짓의 형태로 결과를 나타내는 연산이다</t>
    </r>
    <r>
      <rPr>
        <sz val="10"/>
        <rFont val="Malgun Gothic"/>
        <family val="0"/>
        <charset val="1"/>
      </rPr>
      <t xml:space="preserve">.</t>
    </r>
  </si>
  <si>
    <t xml:space="preserve">108, 109</t>
  </si>
  <si>
    <r>
      <rPr>
        <sz val="10"/>
        <rFont val="Noto Sans CJK SC"/>
        <family val="2"/>
      </rPr>
      <t xml:space="preserve">소제목을 주어로 바꿈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영문 괄호 뺌</t>
    </r>
  </si>
  <si>
    <t xml:space="preserve">ko-master-3-07</t>
  </si>
  <si>
    <r>
      <rPr>
        <sz val="10"/>
        <rFont val="Noto Sans CJK SC"/>
        <family val="2"/>
      </rPr>
      <t xml:space="preserve">체육 시간에 반 대항 줄다리기 시합을 하기로 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우리 반이 경기에서 우승하기 위해서는 학급 친구들의 부족한 체력을 확인하여 집중적으로 보강해야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각자가 자신의 체력이 어느 정도인지 확인하여 부족한 부분을 단련할 수 있도록 데이터를 분석해 보자</t>
    </r>
    <r>
      <rPr>
        <sz val="10"/>
        <rFont val="Malgun Gothic"/>
        <family val="0"/>
        <charset val="1"/>
      </rPr>
      <t xml:space="preserve">.</t>
    </r>
  </si>
  <si>
    <t xml:space="preserve">ko-master-3-08</t>
  </si>
  <si>
    <r>
      <rPr>
        <sz val="10"/>
        <rFont val="Noto Sans CJK SC"/>
        <family val="2"/>
      </rPr>
      <t xml:space="preserve">사이버 범죄는 사이버 공간을 이용한 불법 행위나 사이버 공간에서 발생하는 각종 범죄를 말한다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디지털 기술이 발달하면서 사이버 범죄의 유형이 다양해지고 범죄 수법도 진화하고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이로 인해 사이버 범죄로 인한 피해 사례가 늘고 있기 때문에 각별한 주의가 필요하다</t>
    </r>
    <r>
      <rPr>
        <sz val="10"/>
        <rFont val="Malgun Gothic"/>
        <family val="0"/>
        <charset val="1"/>
      </rPr>
      <t xml:space="preserve">.</t>
    </r>
  </si>
  <si>
    <t xml:space="preserve">ko-master-4-01</t>
  </si>
  <si>
    <r>
      <rPr>
        <sz val="10"/>
        <rFont val="Noto Sans CJK SC"/>
        <family val="2"/>
      </rPr>
      <t xml:space="preserve">리스트는 데이터를 일정한 순서대로 나열하는 방법이다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리스트로 데이터를 구조화하면 각각의 데이터에 부여된 순서로 데이터를 저장하거나 추가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삭제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수정할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일상생활에서 리스트는 건물의 층별 안내도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은행이나 병원의 대기 명단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최근 통화 내역 등에 사용된다</t>
    </r>
    <r>
      <rPr>
        <sz val="10"/>
        <rFont val="Malgun Gothic"/>
        <family val="0"/>
        <charset val="1"/>
      </rPr>
      <t xml:space="preserve">.</t>
    </r>
  </si>
  <si>
    <t xml:space="preserve">60</t>
  </si>
  <si>
    <t xml:space="preserve">소제목을 주어로 바꿈</t>
  </si>
  <si>
    <t xml:space="preserve">ko-master-4-02</t>
  </si>
  <si>
    <r>
      <rPr>
        <sz val="10"/>
        <rFont val="Noto Sans CJK SC"/>
        <family val="2"/>
      </rPr>
      <t xml:space="preserve">스프레드시트 등의 응용 프로그램을 활용하여 데이터의 내용을 효과적으로 관리할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예를 들어 체험 학습을 가기 전에 학생들에게 선호도 조사를 실시했다면 스프레드시트의 정렬 기능을 사용하여 학년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희망 시기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희망지 등을 기준으로 데이터를 구분하여 정리할 수 있다</t>
    </r>
    <r>
      <rPr>
        <sz val="10"/>
        <rFont val="Malgun Gothic"/>
        <family val="0"/>
        <charset val="1"/>
      </rPr>
      <t xml:space="preserve">.</t>
    </r>
  </si>
  <si>
    <t xml:space="preserve">첫 접속어 뺌</t>
  </si>
  <si>
    <t xml:space="preserve">ko-master-4-03</t>
  </si>
  <si>
    <r>
      <rPr>
        <sz val="10"/>
        <rFont val="Noto Sans CJK SC"/>
        <family val="2"/>
      </rPr>
      <t xml:space="preserve">디지털 사회에서는 다양한 디지털 기기를 접할 기회가 많고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스마트폰을 소유하는 나이도 어려져 스마트폰 사용량과 인터넷 이용 시간이 점점 증가하고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사이버 중독 증상이 나타나면 일상생활에 심각한 지장을 초래할 수 있기 때문에 이를 예방하기 위한 개인 및 사회 차원의 노력이 필요하다</t>
    </r>
    <r>
      <rPr>
        <sz val="10"/>
        <rFont val="Malgun Gothic"/>
        <family val="0"/>
        <charset val="1"/>
      </rPr>
      <t xml:space="preserve">.</t>
    </r>
  </si>
  <si>
    <t xml:space="preserve">207</t>
  </si>
  <si>
    <t xml:space="preserve">ko-master-4-04</t>
  </si>
  <si>
    <r>
      <rPr>
        <sz val="10"/>
        <rFont val="Noto Sans CJK SC"/>
        <family val="2"/>
      </rPr>
      <t xml:space="preserve">리스트의 첫 번째 항목을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로 수정해 보자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첫 번째 항목의 값만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로 바뀌고 나머지 항목에는 변화가 없다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리스트의 두 번째 항목을 삭제해 보자</t>
    </r>
    <r>
      <rPr>
        <sz val="10"/>
        <rFont val="Malgun Gothic"/>
        <family val="0"/>
        <charset val="1"/>
      </rPr>
      <t xml:space="preserve">. 20</t>
    </r>
    <r>
      <rPr>
        <sz val="10"/>
        <rFont val="Noto Sans CJK SC"/>
        <family val="2"/>
      </rPr>
      <t xml:space="preserve">을 삭제하면 두 번째 항목이 삭제되면서 세 번째 항목이 두 번째로 이동한다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리스트에서 해당 항목을 삭제하면 이후 항목들의 위치가 한 칸씩 앞으로 이동한다</t>
    </r>
    <r>
      <rPr>
        <sz val="10"/>
        <rFont val="Malgun Gothic"/>
        <family val="0"/>
        <charset val="1"/>
      </rPr>
      <t xml:space="preserve">.</t>
    </r>
  </si>
  <si>
    <t xml:space="preserve">103</t>
  </si>
  <si>
    <t xml:space="preserve">ko-master-4-05</t>
  </si>
  <si>
    <r>
      <rPr>
        <sz val="10"/>
        <rFont val="Noto Sans CJK SC"/>
        <family val="2"/>
      </rPr>
      <t xml:space="preserve">저작물을 온라인으로 쉽게 공유할 수 있게 되면서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저작물을 불법으로 복사 또는 공유하는 저작권 침해 사례가 급증하였다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이러한 행위는 저작권자의 창작 의욕을 떨어뜨리고 저작자에게 경제적 손실을 가져다줄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저작권을 보호해야 하는 이유를 살펴보고 일상에서 저작권을 보호하는 방법을 알아보자</t>
    </r>
    <r>
      <rPr>
        <sz val="10"/>
        <rFont val="Malgun Gothic"/>
        <family val="0"/>
        <charset val="1"/>
      </rPr>
      <t xml:space="preserve">.</t>
    </r>
  </si>
  <si>
    <t xml:space="preserve">216</t>
  </si>
  <si>
    <t xml:space="preserve">ko-master-4-06</t>
  </si>
  <si>
    <r>
      <rPr>
        <sz val="10"/>
        <rFont val="Noto Sans CJK SC"/>
        <family val="2"/>
      </rPr>
      <t xml:space="preserve">인공지능은 편리한 만큼 그에 따른 다양한 문제가 발생하기도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인공지능을 잘 개발하고 활용하기 위해서는 데이터 편향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투명한 사용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책임감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데이터 관리 등의 문제를 고려해야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인공지능의 개발과 활용에서 제기되는 윤리적인 문제를 해결하기 위해 개인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정부 등 많은 사람과 기관의 노력이 뒷받침되어야 한다</t>
    </r>
    <r>
      <rPr>
        <sz val="10"/>
        <rFont val="Malgun Gothic"/>
        <family val="0"/>
        <charset val="1"/>
      </rPr>
      <t xml:space="preserve">.</t>
    </r>
  </si>
  <si>
    <t xml:space="preserve">179, 180</t>
  </si>
  <si>
    <t xml:space="preserve">ko-master-4-07</t>
  </si>
  <si>
    <r>
      <rPr>
        <sz val="10"/>
        <rFont val="Noto Sans CJK SC"/>
        <family val="2"/>
      </rPr>
      <t xml:space="preserve">주어진 문제를 해결하는 알고리즘은 여러 가지일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어떤 알고리즘을 사용하느냐에 따라 효율성이 달라질 수 있으므로 여러 가지의 알고리즘을 비교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분석한 후 효율적인 알고리즘을 선택해야 한다</t>
    </r>
    <r>
      <rPr>
        <sz val="10"/>
        <rFont val="Malgun Gothic"/>
        <family val="0"/>
        <charset val="1"/>
      </rPr>
      <t xml:space="preserve">. 7</t>
    </r>
    <r>
      <rPr>
        <sz val="10"/>
        <rFont val="Noto Sans CJK SC"/>
        <family val="2"/>
      </rPr>
      <t xml:space="preserve">개의 제품 중에서 불량으로 무게가 가벼운 제품이 하나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양팔 저울을 사용하여 가벼운 제품 하나를 빠르게 찾아내는 알고리즘을 생각해 보자</t>
    </r>
    <r>
      <rPr>
        <sz val="10"/>
        <rFont val="Malgun Gothic"/>
        <family val="0"/>
        <charset val="1"/>
      </rPr>
      <t xml:space="preserve">.</t>
    </r>
  </si>
  <si>
    <t xml:space="preserve">ko-master-5-01</t>
  </si>
  <si>
    <r>
      <rPr>
        <sz val="10"/>
        <rFont val="Noto Sans CJK SC"/>
        <family val="2"/>
      </rPr>
      <t xml:space="preserve">주기억 장치는 처리 속도가 빠르지만 저장 공간이 한정되어 있어 운영체제가 이를 효율적으로 사용할 수 있도록 저장 공간을 관리한다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컴퓨팅 시스템에 연결된 다양한 입출력 장치의 연결과 작동을 자동으로 관리한다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새로운 입출력 장치가 연결되면 드라이버를 찾아 연결해 주거나 장치에 문제가 생기면 오류를 알려 주고 해결 방법을 안내한다</t>
    </r>
    <r>
      <rPr>
        <sz val="10"/>
        <rFont val="Malgun Gothic"/>
        <family val="0"/>
        <charset val="1"/>
      </rPr>
      <t xml:space="preserve">.</t>
    </r>
  </si>
  <si>
    <t xml:space="preserve">ko-master-5-02</t>
  </si>
  <si>
    <r>
      <rPr>
        <sz val="10"/>
        <rFont val="Noto Sans CJK SC"/>
        <family val="2"/>
      </rPr>
      <t xml:space="preserve">사이버 폭력이란 사이버 공간에서 폭력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음란 정보 등에 의하여 신체적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정신적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재산상의 피해를 주는 행위를 말한다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사이버 공간은 시간과 공간의 제약이 적고 익명성이라는 특성이 있기 때문에 사람들이 사이버 폭력에 쉽게 노출될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따라서 사이버 폭력의 유형과 예방법을 알고 디지털 윤리에 위배되는 행동을 하지 않도록 주의해야 한다</t>
    </r>
    <r>
      <rPr>
        <sz val="10"/>
        <rFont val="Malgun Gothic"/>
        <family val="0"/>
        <charset val="1"/>
      </rPr>
      <t xml:space="preserve">.</t>
    </r>
  </si>
  <si>
    <t xml:space="preserve">ko-master-5-03</t>
  </si>
  <si>
    <r>
      <rPr>
        <sz val="10"/>
        <rFont val="Noto Sans CJK SC"/>
        <family val="2"/>
      </rPr>
      <t xml:space="preserve">컴퓨팅 시스템은 운영체제와 함께 동작하여 사용자 및 다른 기기와 상호 작용한다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또한 네트워크로 다른 컴퓨터와 통신하여 데이터를 주고받으며 다양한 소프트웨어를 실행한다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컴퓨팅 시스템은 운영체제가 실행된 상태에서 입력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처리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출력의 과정을 반복하면서 작업을 수행한다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길 찾기 프로그램을 사용하여 컴퓨팅 시스템의 동작 과정을 살펴보자</t>
    </r>
    <r>
      <rPr>
        <sz val="10"/>
        <rFont val="Malgun Gothic"/>
        <family val="0"/>
        <charset val="1"/>
      </rPr>
      <t xml:space="preserve">.</t>
    </r>
  </si>
  <si>
    <t xml:space="preserve">ko-master-5-04</t>
  </si>
  <si>
    <r>
      <rPr>
        <sz val="10"/>
        <rFont val="Noto Sans CJK SC"/>
        <family val="2"/>
      </rPr>
      <t xml:space="preserve">테이블은 행과 열로 구성된 바둑판 모양의 칸 안에 데이터를 저장하는 방법이다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테이블을 이용하면 많은 데이터를 일정한 기준에 따라 간결하게 정리할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그리고 행이나 열을 추가하거나 삭제하여 데이터를 관리할 수 있고 수치 데이터를 쉽게 계산할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일상생활에서 테이블은 주소록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좌석 배치도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체력 측정표와 같은 기록 정리 등에 사용된다</t>
    </r>
    <r>
      <rPr>
        <sz val="10"/>
        <rFont val="Malgun Gothic"/>
        <family val="0"/>
        <charset val="1"/>
      </rPr>
      <t xml:space="preserve">.</t>
    </r>
  </si>
  <si>
    <t xml:space="preserve">ko-master-5-05</t>
  </si>
  <si>
    <r>
      <rPr>
        <sz val="10"/>
        <rFont val="Noto Sans CJK SC"/>
        <family val="2"/>
      </rPr>
      <t xml:space="preserve">프로그래밍 언어의 종류는 여러 가지 방법으로 구분할 수 있지만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일반적으로 블록 기반 프로그래밍 언어와 텍스트 기반 프로그래밍 언어로 구분한다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블록 기반 프로그래밍 언어는 주어진 명령 블록을 드래그 앤 드롭하여 프로그램을 제작할 수 있으며 다양한 시각적인 결과를 쉽게 만들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대표적인 블록 기반 프로그래밍 언어는 엔트리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스크래치 등이 있다</t>
    </r>
    <r>
      <rPr>
        <sz val="10"/>
        <rFont val="Malgun Gothic"/>
        <family val="0"/>
        <charset val="1"/>
      </rPr>
      <t xml:space="preserve">.</t>
    </r>
  </si>
  <si>
    <t xml:space="preserve">136</t>
  </si>
  <si>
    <t xml:space="preserve">기호를 글자로 바꿈</t>
  </si>
  <si>
    <t xml:space="preserve">ko-master-5-06</t>
  </si>
  <si>
    <r>
      <rPr>
        <sz val="10"/>
        <rFont val="Noto Sans CJK SC"/>
        <family val="2"/>
      </rPr>
      <t xml:space="preserve">빅데이터 전문가는 세계 각국의 최신 경향과 정보에 대한 호기심이 많으며 이를 파악하는 것을 좋아하는 사람에게 적합하다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또한 방대한 데이터를 다루기 때문에 꼼꼼하게 탐구하는 것을 즐기는 사람에게 맞는 직업이다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빅데이터 전문가는 경영학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통계학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컴퓨터 공학 등 다양한 분야의 협업이 전제 되어야 하며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향후 발전 가능성이 크고 직업적 전망도 밝다</t>
    </r>
    <r>
      <rPr>
        <sz val="10"/>
        <rFont val="Malgun Gothic"/>
        <family val="0"/>
        <charset val="1"/>
      </rPr>
      <t xml:space="preserve">.</t>
    </r>
  </si>
  <si>
    <t xml:space="preserve">ko-master-5-07</t>
  </si>
  <si>
    <r>
      <rPr>
        <sz val="10"/>
        <rFont val="Noto Sans CJK SC"/>
        <family val="2"/>
      </rPr>
      <t xml:space="preserve">저작물이란 인간의 사상 또는 감정을 독창적으로 표현한 창작물을 말한다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저작물을 창작한 사람을 저작자라고 하며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저작권은 저작물에 대하여 저작자에게 주는 권리이다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저작권은 저작물의 창작이 있으면 자연히 발생하며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우리가 창작한 숙제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일기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직접 만든 캐릭터 등도 모두 저작권으로 보호받을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저작권은 저작 인격권과 저작 재산권으로 분류된다</t>
    </r>
    <r>
      <rPr>
        <sz val="10"/>
        <rFont val="Malgun Gothic"/>
        <family val="0"/>
        <charset val="1"/>
      </rPr>
      <t xml:space="preserve">.</t>
    </r>
  </si>
  <si>
    <t xml:space="preserve">ko-master-5-08</t>
  </si>
  <si>
    <r>
      <rPr>
        <sz val="10"/>
        <rFont val="Noto Sans CJK SC"/>
        <family val="2"/>
      </rPr>
      <t xml:space="preserve">소연이는 과학 과제 자료를 검색하던 중 우주에 인간이 만든 수많은 쓰레기가 떠다니고 있다는 뉴스 기사와 영상을 보고 우주 쓰레기에 대한 심각성을 느꼈다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우주 쓰레기를 청소하는 방법 중 하나는 로켓에 레이저 장치를 달아 우주 쓰레기를 요격하는 것이라고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소연이는 우주 쓰레기 문제의 심각성을 알리는 프로그램을 만들기로 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버튼과 소리 센서를 이용해 우주 쓰레기를 청소하는 시뮬레이션 로켓을 만들어 보자</t>
    </r>
    <r>
      <rPr>
        <sz val="10"/>
        <rFont val="Malgun Gothic"/>
        <family val="0"/>
        <charset val="1"/>
      </rPr>
      <t xml:space="preserve">.</t>
    </r>
  </si>
  <si>
    <t xml:space="preserve">ko-legend-1-01</t>
  </si>
  <si>
    <t xml:space="preserve">정보 이야기</t>
  </si>
  <si>
    <t xml:space="preserve">데이터의 구조화</t>
  </si>
  <si>
    <r>
      <rPr>
        <sz val="10"/>
        <rFont val="Noto Sans CJK SC"/>
        <family val="2"/>
      </rPr>
      <t xml:space="preserve">데이터의 특성을 파악하여 체계적으로 정리하는 것을 데이터의 구조화라고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데이터를 구조화하면 데이터의 의미를 쉽고 빠르게 이해할 수 있고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다른 사람에게 내용을 효과적으로 전달할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또한 데이터 전체의 내용을 한눈에 살펴보거나 다른 데이터와의 연관성을 확인하여 새로운 지식을 찾을 수도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데이터는 목적과 의미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특성에 따라 리스트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테이블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다이어그램 등 다양한 방법으로 구조화할 수 있다</t>
    </r>
    <r>
      <rPr>
        <sz val="10"/>
        <rFont val="Malgun Gothic"/>
        <family val="0"/>
        <charset val="1"/>
      </rPr>
      <t xml:space="preserve">.</t>
    </r>
  </si>
  <si>
    <t xml:space="preserve">59, 60</t>
  </si>
  <si>
    <t xml:space="preserve">ko-legend-1-02</t>
  </si>
  <si>
    <r>
      <rPr>
        <sz val="10"/>
        <rFont val="Noto Sans CJK SC"/>
        <family val="2"/>
      </rPr>
      <t xml:space="preserve">인공지능은 어떻게 배울까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</si>
  <si>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인공지능 시스템은 수집된 데이터로부터 규칙을 찾아 학습하고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학습한 알고리즘을 모델로 만들어 개발한다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예를 들어 사람들은 특별한 가르침 없이도 새와 물고기를 구분할 줄 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이것은 어렸을 때부터 다양한 새와 물고기를 보면서 공통의 특징을 찾아 배우기 때문이다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인공지능 시스템도 우리가 경험한 방법처럼 새와 물고기의 데이터를 학습하여 모델로 만들고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이를 활용해 인간과 유사하게 분류할 수 있다</t>
    </r>
    <r>
      <rPr>
        <sz val="10"/>
        <rFont val="Malgun Gothic"/>
        <family val="0"/>
        <charset val="1"/>
      </rPr>
      <t xml:space="preserve">.</t>
    </r>
  </si>
  <si>
    <t xml:space="preserve">ko-legend-1-03</t>
  </si>
  <si>
    <t xml:space="preserve">제어 구조와 중첩</t>
  </si>
  <si>
    <r>
      <rPr>
        <sz val="10"/>
        <rFont val="Noto Sans CJK SC"/>
        <family val="2"/>
      </rPr>
      <t xml:space="preserve">제어 구조란 문제 해결 과정에서 주어진 조건에 따라 프로그램의 실행 순서를 제어하는 구조로 순차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반복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선택이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중첩 제어 구조는 제어 구조 안에 한 개 이상의 제어 구조가 포함된 것을 말한다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같은 형태의 제어 구조가 중첩될 수도 있고 다른 형태의 제어 구조가 중첩될 수도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예를 들어 반복 구조 속의 반복 구조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반복 구조 속의 선택 구조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선택 구조 속의 선택 구조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선택 구조 속의 반복 구조 등 필요에 따라 다양하게 표현할 수 있다</t>
    </r>
    <r>
      <rPr>
        <sz val="10"/>
        <rFont val="Malgun Gothic"/>
        <family val="0"/>
        <charset val="1"/>
      </rPr>
      <t xml:space="preserve">.</t>
    </r>
  </si>
  <si>
    <t xml:space="preserve">112, 113</t>
  </si>
  <si>
    <t xml:space="preserve">ko-legend-1-04</t>
  </si>
  <si>
    <t xml:space="preserve">사이버 범죄와 중독</t>
  </si>
  <si>
    <r>
      <rPr>
        <sz val="10"/>
        <rFont val="Noto Sans CJK SC"/>
        <family val="2"/>
      </rPr>
      <t xml:space="preserve">사이버 범죄는 사이버 공간을 이용한 불법 행위나 사이버 공간에서 발생하는 각종 범죄를 말한다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디지털 기술이 발달하면서 사이버 범죄의 유형이 다양해지고 범죄 수법도 진화하고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이로 인해 사이버 범죄로 인한 피해 사례가 늘고 있기 때문에 각별한 주의가 필요하다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디지털 사회에서 스마트폰과 인터넷은 없어서는 안 될 필수품이 되었다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스마트폰과 인터넷은 사람들에게 즐거움을 주지만 너무 많이 사용한다면 중독 증상이 나타나기도 한다</t>
    </r>
    <r>
      <rPr>
        <sz val="10"/>
        <rFont val="Malgun Gothic"/>
        <family val="0"/>
        <charset val="1"/>
      </rPr>
      <t xml:space="preserve">.</t>
    </r>
  </si>
  <si>
    <t xml:space="preserve">205, 206</t>
  </si>
  <si>
    <t xml:space="preserve">ko-legend-1-05</t>
  </si>
  <si>
    <r>
      <rPr>
        <sz val="10"/>
        <rFont val="Noto Sans CJK SC"/>
        <family val="2"/>
      </rPr>
      <t xml:space="preserve">다이어그램은 기호와 선으로 데이터 간의 관계를 나타내는 방법이다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다이어그램의 유형에는 계층형과 그래프형 등이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계층형은 하나의 데이터를 상하 관계로 나누어 가는 방법이다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일상생활에서 계층형은 학생회 조직도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경기 대진표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윈도의 파일 탐색기 등에 사용된다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그래프형은 두 개 이상의 데이터를 선으로 연결하여 데이터 간의 연관성을 나타내는 방법이다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일상생활에서 그래프형은 지하철이나 버스 노선도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회로도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네트워크 구성도 등에 사용된다</t>
    </r>
    <r>
      <rPr>
        <sz val="10"/>
        <rFont val="Malgun Gothic"/>
        <family val="0"/>
        <charset val="1"/>
      </rPr>
      <t xml:space="preserve">.</t>
    </r>
  </si>
  <si>
    <t xml:space="preserve">ko-legend-1-06</t>
  </si>
  <si>
    <t xml:space="preserve">생성형 인공지능의 두 얼굴</t>
  </si>
  <si>
    <r>
      <rPr>
        <sz val="10"/>
        <rFont val="Noto Sans CJK SC"/>
        <family val="2"/>
      </rPr>
      <t xml:space="preserve">먼 미래에나 가능할 거라고 생각했던 생성형 인공지능이 우리 곁에 다가오자 전 세계가 들썩였다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생성형 인공지능은 기술 발전의 새로운 가능성을 열었지만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동시에 혼란도 불러일으켰다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기술의 급격한 발전으로 윤리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제도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환경 등 여러 분야에서 마찰이 발생하고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일부에서는 의도적으로 인공지능의 발전을 늦춰야 한다고 이야기하기도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특히 환경 분야의 경우 인공지능의 양면성을 이해하여 지구 환경에 도움이 될 수 있도록 활용해야 한다</t>
    </r>
    <r>
      <rPr>
        <sz val="10"/>
        <rFont val="Malgun Gothic"/>
        <family val="0"/>
        <charset val="1"/>
      </rPr>
      <t xml:space="preserve">.</t>
    </r>
  </si>
  <si>
    <t xml:space="preserve">160</t>
  </si>
  <si>
    <t xml:space="preserve">일부 문장 뺌</t>
  </si>
  <si>
    <t xml:space="preserve">ko-legend-2-01</t>
  </si>
  <si>
    <t xml:space="preserve">소프트웨어의 종류</t>
  </si>
  <si>
    <r>
      <rPr>
        <sz val="10"/>
        <rFont val="Noto Sans CJK SC"/>
        <family val="2"/>
      </rPr>
      <t xml:space="preserve">소프트웨어는 하드웨어의 동작을 제어하고 관리하여 사용자가 원하는 결과를 얻을 수 있도록 하는 명령어의 모음이다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소프트웨어는 하드웨어를 사용하여 특정한 일을 수행할 수 있도록 컴퓨팅 시스템에 일의 처리 순서와 방법을 지시하는 역할을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소프트웨어는 시스템 소프트웨어와 응용 소프트웨어로 구분된다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시스템 소프트웨어에는 윈도 등과 같은 운영체제가 있으며 응용 소프트웨어에는 프레젠테이션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워드 프로세서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이미지 편집기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음악 재생 프로그램 등이 있다</t>
    </r>
    <r>
      <rPr>
        <sz val="10"/>
        <rFont val="Malgun Gothic"/>
        <family val="0"/>
        <charset val="1"/>
      </rPr>
      <t xml:space="preserve">.</t>
    </r>
  </si>
  <si>
    <t xml:space="preserve">11, 13</t>
  </si>
  <si>
    <t xml:space="preserve">ko-legend-2-02</t>
  </si>
  <si>
    <t xml:space="preserve">데이터 관리와 분류</t>
  </si>
  <si>
    <r>
      <rPr>
        <sz val="10"/>
        <rFont val="Noto Sans CJK SC"/>
        <family val="2"/>
      </rPr>
      <t xml:space="preserve">수집한 데이터를 목적에 맞게 사용하기 위해서는 데이터의 분류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저장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공유 등의 관리를 효율적으로 해야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이때 데이터의 특성에 맞는 응용 프로그램을 이용하면 수집한 데이터를 목적에 따라 쉽게 관리할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수집한 데이터를 형식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의미 등의 기준으로 분류하면 문제 해결에 필요한 데이터를 찾는 데에 효과적이다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예를 들어 체험 학습 계획 단계에서 수집한 여러 데이터가 한곳에 뒤섞여 있다면 데이터를 형식과 의미에 따라 분류한 후에 각각 폴더에 담아 정리할 수 있다</t>
    </r>
    <r>
      <rPr>
        <sz val="10"/>
        <rFont val="Malgun Gothic"/>
        <family val="0"/>
        <charset val="1"/>
      </rPr>
      <t xml:space="preserve">.</t>
    </r>
  </si>
  <si>
    <t xml:space="preserve">52</t>
  </si>
  <si>
    <t xml:space="preserve">ko-legend-2-03</t>
  </si>
  <si>
    <t xml:space="preserve">데이터 해석</t>
  </si>
  <si>
    <r>
      <rPr>
        <sz val="10"/>
        <rFont val="Noto Sans CJK SC"/>
        <family val="2"/>
      </rPr>
      <t xml:space="preserve">데이터 해석은 데이터 분석 결과를 바탕으로 데이터에서 의미 있는 정보를 찾아내는 과정이다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데이터를 수집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분석하여 데이터의 의미를 해석하면 의사 결정을 내리거나 문제를 해결하는 데 도움이 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예를 들어 호흡기 질병의 발병 위험도를 알고 싶다면 병원의 진료 기록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기상 및 환경 데이터 등을 연계하여 분석할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분석 결과 시기별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지역별로 발병하는 규칙성을 찾아내면 질병의 발병 위험도를 알려줄 수 있고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이를 바탕으로 예방과 치료 활동을 할 수 있다</t>
    </r>
    <r>
      <rPr>
        <sz val="10"/>
        <rFont val="Malgun Gothic"/>
        <family val="0"/>
        <charset val="1"/>
      </rPr>
      <t xml:space="preserve">.</t>
    </r>
  </si>
  <si>
    <t xml:space="preserve">ko-legend-2-04</t>
  </si>
  <si>
    <t xml:space="preserve">소리와 동영상의 디지털 표현</t>
  </si>
  <si>
    <r>
      <rPr>
        <sz val="10"/>
        <rFont val="Noto Sans CJK SC"/>
        <family val="2"/>
      </rPr>
      <t xml:space="preserve">소리를 디지털 형태로 표현하기 위해서는 소리의 파형을 전기 신호로 바꾼 후에 일정한 간격으로 나누고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값을 이진수로 바꾸는 과정이 필요하다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동영상은 연속된 여러 장의 이미지를 빠른 속도로 보여 주어 사람의 눈에 마치 움직이는 것처럼 보이는 데이터이다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짧은 시간에 여러 장의 이미지를 보여 주면 이미지가 바뀔 때마다 잔상 효과가 일어나 정지된 모습이 마치 움직이는 것처럼 보인다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동영상 데이터는 이미지 외에도 자막과 소리를 포함하므로 다른 형태의 데이터보다 크기가 큰 편이다</t>
    </r>
    <r>
      <rPr>
        <sz val="10"/>
        <rFont val="Malgun Gothic"/>
        <family val="0"/>
        <charset val="1"/>
      </rPr>
      <t xml:space="preserve">.</t>
    </r>
  </si>
  <si>
    <t xml:space="preserve">ko-legend-2-05</t>
  </si>
  <si>
    <t xml:space="preserve">인공지능 모델 만들기</t>
  </si>
  <si>
    <r>
      <rPr>
        <sz val="10"/>
        <rFont val="Noto Sans CJK SC"/>
        <family val="2"/>
      </rPr>
      <t xml:space="preserve">인공지능 시스템을 활용해 문제를 해결하는 과정은 문제 이해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데이터 수집과 가공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인공지능 모델 개발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인공지능 모델 활용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실행 및 적용으로 이루어진다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인공지능 모델을 만드는 과정은 데이터 입력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학습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결과 확인으로 이루어진다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데이터 입력 단계에서는 데이터를 수집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가공하여 각 클래스에 데이터를 분류하여 입력한다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학습 단계에서는 입력된 데이터의 특징을 학습하여 모델을 만든다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결과 확인 단계에서는 새로운 데이터를 활용하여 학습된 모델의 정확도를 평가한다</t>
    </r>
    <r>
      <rPr>
        <sz val="10"/>
        <rFont val="Malgun Gothic"/>
        <family val="0"/>
        <charset val="1"/>
      </rPr>
      <t xml:space="preserve">.</t>
    </r>
  </si>
  <si>
    <t xml:space="preserve">154, 163</t>
  </si>
  <si>
    <r>
      <rPr>
        <sz val="10"/>
        <rFont val="Noto Sans CJK SC"/>
        <family val="2"/>
      </rPr>
      <t xml:space="preserve">가운뎃점을 쉼표로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따옴표 뺌</t>
    </r>
  </si>
  <si>
    <t xml:space="preserve">ko-legend-2-06</t>
  </si>
  <si>
    <t xml:space="preserve">디지털 기술이 바꾼 생활</t>
  </si>
  <si>
    <r>
      <rPr>
        <sz val="10"/>
        <rFont val="Noto Sans CJK SC"/>
        <family val="2"/>
      </rPr>
      <t xml:space="preserve">인공지능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사물 인터넷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빅데이터와 같은 디지털 기술이 일상생활 곳곳에 활용되면서 사회에는 큰 변화가 나타났다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예를 들어 과거에는 물건을 구입할 때 현금이나 신용카드로만 결제할 수 있었으나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디지털 사회에서는 핀테크 기술의 발달로 지갑 없이도 스마트폰만 있으면 본인 인증을 통해 결제가 가능해졌다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사회의 여러 분야에서 디지털화가 진행되면서 스마트 시티라는 새로운 도시 모델이 등장하였다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스마트 시티에 적용된 다양한 디지털 기술을 살펴보고 디지털 기술이 우리 생활에 가져온 변화를 생각해 보자</t>
    </r>
    <r>
      <rPr>
        <sz val="10"/>
        <rFont val="Malgun Gothic"/>
        <family val="0"/>
        <charset val="1"/>
      </rPr>
      <t xml:space="preserve">.</t>
    </r>
  </si>
  <si>
    <t xml:space="preserve">191, 193</t>
  </si>
  <si>
    <t xml:space="preserve">영문 괄호 뺌</t>
  </si>
  <si>
    <t xml:space="preserve">ko-legend-3-01</t>
  </si>
  <si>
    <t xml:space="preserve">아날로그와 디지털</t>
  </si>
  <si>
    <r>
      <rPr>
        <sz val="10"/>
        <rFont val="Noto Sans CJK SC"/>
        <family val="2"/>
      </rPr>
      <t xml:space="preserve">데이터는 관찰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측정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실험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조사 등으로 얻을 수 있는 값을 말하며 표현 형태에 따라 아날로그와 디지털로 구분한다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아날로그 데이터는 연속적인 값이고 디지털 데이터는 불연속적인 값이다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아날로그 데이터를 디지털 데이터로 변환하면 컴퓨팅 시스템에서 쉽게 데이터를 편집하거나 저장할 수 있고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다양한 형태로 변환하여 활용할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컴퓨팅 시스템은 데이터를 디지털 형태로 변환하여 </t>
    </r>
    <r>
      <rPr>
        <sz val="10"/>
        <rFont val="Malgun Gothic"/>
        <family val="0"/>
        <charset val="1"/>
      </rPr>
      <t xml:space="preserve">0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의 이진수로 표현한다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우리가 디지털 기기로 접하는 글자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소리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영상 등은 이진수로 변환하여 처리한 디지털 데이터이다</t>
    </r>
    <r>
      <rPr>
        <sz val="10"/>
        <rFont val="Malgun Gothic"/>
        <family val="0"/>
        <charset val="1"/>
      </rPr>
      <t xml:space="preserve">.</t>
    </r>
  </si>
  <si>
    <t xml:space="preserve">45, 46</t>
  </si>
  <si>
    <t xml:space="preserve">ko-legend-3-02</t>
  </si>
  <si>
    <t xml:space="preserve">피지컬 컴퓨팅 시스템</t>
  </si>
  <si>
    <r>
      <rPr>
        <sz val="10"/>
        <rFont val="Noto Sans CJK SC"/>
        <family val="2"/>
      </rPr>
      <t xml:space="preserve">피지컬 컴퓨팅 시스템은 현실 세계 속 데이터를 다양한 기기로 입력받아서 소프트웨어로 처리하여 그 결과를 출력하는 컴퓨팅 시스템으로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물리적인 세계와 상호 작용할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피지컬 컴퓨팅 시스템은 마이크로컨트롤러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센서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액추에이터 등의 하드웨어와 프로그래밍 언어로 작성된 소프트웨어로 구성된다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피지컬 컴퓨팅 시스템은 센서로 데이터를 수집하여 처리하고 프로그램을 실행하여 액추에이터 제어 및 사용자와 상호 작용하는 과정으로 동작한다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일상생활에서는 현관 자동 출입 시스템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스마트 가로등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자율주행 자동차 등이 있다</t>
    </r>
    <r>
      <rPr>
        <sz val="10"/>
        <rFont val="Malgun Gothic"/>
        <family val="0"/>
        <charset val="1"/>
      </rPr>
      <t xml:space="preserve">.</t>
    </r>
  </si>
  <si>
    <t xml:space="preserve">25, 27</t>
  </si>
  <si>
    <t xml:space="preserve">ko-legend-3-03</t>
  </si>
  <si>
    <t xml:space="preserve">문제와 추상화</t>
  </si>
  <si>
    <r>
      <rPr>
        <sz val="10"/>
        <rFont val="Noto Sans CJK SC"/>
        <family val="2"/>
      </rPr>
      <t xml:space="preserve">문제는 해결해야 하는 일이나 과제를 말한다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문제의 상태는 문제가 발생한 초기 상태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문제를 풀어 가는 현재 상태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문제가 해결된 목표 상태로 구분한다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초기 상태에서 목표 상태로 가기 위해 현재 상태를 계속 바꾸어 가는 과정을 문제 해결 과정이라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추상화는 복잡한 것을 간결하고 이해하기 쉽도록 단순화하는 과정을 말한다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추상화를 통해 복잡한 문제를 해결할 수 있으며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더 효율적이고 정확하게 문제를 해결하는 데에도 도움이 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추상화를 하려면 문제 발견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상태 정의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핵심 요소 추출 등의 과정이 필요하다</t>
    </r>
    <r>
      <rPr>
        <sz val="10"/>
        <rFont val="Malgun Gothic"/>
        <family val="0"/>
        <charset val="1"/>
      </rPr>
      <t xml:space="preserve">.</t>
    </r>
  </si>
  <si>
    <t xml:space="preserve">81, 82</t>
  </si>
  <si>
    <t xml:space="preserve">ko-legend-3-04</t>
  </si>
  <si>
    <r>
      <rPr>
        <sz val="10"/>
        <rFont val="Noto Sans CJK SC"/>
        <family val="2"/>
      </rPr>
      <t xml:space="preserve">컴퓨팅 시스템이란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</si>
  <si>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컴퓨팅 시스템은 문제 해결에 필요한 데이터를 관리하고 정해진 절차에 따라 자동으로 처리하여 원하는 결과를 얻을 수 있도록 도와주는 시스템이다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컴퓨팅 시스템에는 데스크톱 컴퓨터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노트북 컴퓨터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스마트폰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스마트 냉장고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로봇 청소기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자동문 등 다양한 종류가 있으며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활동 범위와 영향력이 점차 확대되고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컴퓨팅 시스템은 하드웨어와 소프트웨어로 구성된다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하드웨어는 데이터의 입출력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연산 및 처리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통신 등에서 사용되는 여러 가지 물리적인 장치를 말하며 입력 장치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중앙 처리 장치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기억 장치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출력 장치로 나뉜다</t>
    </r>
    <r>
      <rPr>
        <sz val="10"/>
        <rFont val="Malgun Gothic"/>
        <family val="0"/>
        <charset val="1"/>
      </rPr>
      <t xml:space="preserve">.</t>
    </r>
  </si>
  <si>
    <t xml:space="preserve">11, 12</t>
  </si>
  <si>
    <t xml:space="preserve">ko-legend-3-05</t>
  </si>
  <si>
    <t xml:space="preserve">대화하는 인공지능</t>
  </si>
  <si>
    <r>
      <rPr>
        <sz val="10"/>
        <rFont val="Noto Sans CJK SC"/>
        <family val="2"/>
      </rPr>
      <t xml:space="preserve">인공지능과 인간의 소통은 단순 번역에서부터 시작하여 현재는 대화가 가능한 수준에까지 이르게 되었다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오늘 날씨 어때</t>
    </r>
    <r>
      <rPr>
        <sz val="10"/>
        <rFont val="Malgun Gothic"/>
        <family val="0"/>
        <charset val="1"/>
      </rPr>
      <t xml:space="preserve">?</t>
    </r>
    <r>
      <rPr>
        <sz val="10"/>
        <rFont val="Noto Sans CJK SC"/>
        <family val="2"/>
      </rPr>
      <t xml:space="preserve">와 같은 음성 인식 서비스에서부터 챗봇을 활용한 상담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쇼핑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예약 등 다양한 상황에서 대화형 인공지능을 사용하고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이러한 인공지능은 얼굴 표정과 상황 인식을 통해 새로운 형태의 의사소통 기능을 발전시켜 가고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인공지능은 인간의 지능적인 특징을 모방하여 문제를 해결할 수 있도록 만든 컴퓨팅 시스템이다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인공지능은 컴퓨팅 기술과 결합하여 우리 주변에서 다양하게 활용되고 있다</t>
    </r>
    <r>
      <rPr>
        <sz val="10"/>
        <rFont val="Malgun Gothic"/>
        <family val="0"/>
        <charset val="1"/>
      </rPr>
      <t xml:space="preserve">.</t>
    </r>
  </si>
  <si>
    <t xml:space="preserve">146, 147</t>
  </si>
  <si>
    <r>
      <rPr>
        <sz val="10"/>
        <rFont val="Noto Sans CJK SC"/>
        <family val="2"/>
      </rPr>
      <t xml:space="preserve">따옴표 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영문 괄호 뺌</t>
    </r>
  </si>
  <si>
    <t xml:space="preserve">ko-legend-3-06</t>
  </si>
  <si>
    <t xml:space="preserve">충분한 양의 데이터</t>
  </si>
  <si>
    <r>
      <rPr>
        <sz val="10"/>
        <rFont val="Noto Sans CJK SC"/>
        <family val="2"/>
      </rPr>
      <t xml:space="preserve">인공지능 모델은 대량의 데이터를 사용하여 학습하며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데이터가 많아질수록 모델의 성능이 좋아진다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또한 데이터의 품질이 인공지능 모델의 정확성과 유용성에 영향을 미치므로 품질이 좋지 않거나 왜곡된 데이터를 사용하지 않도록 신중하게 데이터를 수집하고 관리하는 것이 중요하다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부족한 데이터로 학습하면 인공지능 시스템의 정확도가 낮아진다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이럴 경우에는 데이터를 충분히 제공해 다시 학습시켜야 한다</t>
    </r>
    <r>
      <rPr>
        <sz val="10"/>
        <rFont val="Malgun Gothic"/>
        <family val="0"/>
        <charset val="1"/>
      </rPr>
      <t xml:space="preserve">. 100</t>
    </r>
    <r>
      <rPr>
        <sz val="10"/>
        <rFont val="Noto Sans CJK SC"/>
        <family val="2"/>
      </rPr>
      <t xml:space="preserve">개의 이미지 데이터를 학습한 인공지능 시스템과 </t>
    </r>
    <r>
      <rPr>
        <sz val="10"/>
        <rFont val="Malgun Gothic"/>
        <family val="0"/>
        <charset val="1"/>
      </rPr>
      <t xml:space="preserve">1000</t>
    </r>
    <r>
      <rPr>
        <sz val="10"/>
        <rFont val="Noto Sans CJK SC"/>
        <family val="2"/>
      </rPr>
      <t xml:space="preserve">개의 이미지 데이터를 학습한 인공지능 시스템의 정확도는 다를 수 밖에 없다</t>
    </r>
    <r>
      <rPr>
        <sz val="10"/>
        <rFont val="Malgun Gothic"/>
        <family val="0"/>
        <charset val="1"/>
      </rPr>
      <t xml:space="preserve">.</t>
    </r>
  </si>
  <si>
    <t xml:space="preserve">ko-legend-4-01</t>
  </si>
  <si>
    <t xml:space="preserve">인공지능 소프트웨어</t>
  </si>
  <si>
    <r>
      <rPr>
        <sz val="10"/>
        <rFont val="Noto Sans CJK SC"/>
        <family val="2"/>
      </rPr>
      <t xml:space="preserve">초창기 인공지능은 주로 계산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분석 등이 필요한 분야에 활용되었지만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최근의 인공지능은 창의적인 일을 수행하여 새로운 창작물을 생성하는 등 그 활용 분야가 확장되고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일반적인 소프트웨어는 문제 해결에 필요한 데이터를 입력받아 미리 정해진 알고리즘에 따라 처리하여 원하는 결과를 출력한다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하지만 인공지능 소프트웨어는 대량의 데이터와 지식을 바탕으로 스스로 알고리즘을 학습하여 적절한 결과를 출력한다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인공지능 소프트웨어는 주어진 상황에 맞춰 최적화된 판단을 내리는 지능적인 소프트웨어라 할 수 있다</t>
    </r>
    <r>
      <rPr>
        <sz val="10"/>
        <rFont val="Malgun Gothic"/>
        <family val="0"/>
        <charset val="1"/>
      </rPr>
      <t xml:space="preserve">.</t>
    </r>
  </si>
  <si>
    <t xml:space="preserve">149, 150</t>
  </si>
  <si>
    <t xml:space="preserve">ko-legend-4-02</t>
  </si>
  <si>
    <t xml:space="preserve">더 빠른 계산대 알고리즘</t>
  </si>
  <si>
    <r>
      <rPr>
        <sz val="10"/>
        <rFont val="Noto Sans CJK SC"/>
        <family val="2"/>
      </rPr>
      <t xml:space="preserve">알고리즘 설계는 문제를 해결하는 과정을 계획하는 것이다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물건을 고른 후 계산하기 위해 계산대 앞에 줄을 선 상황을 생각해 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물건을 빠르게 계산하는 알고리즘을 설계해 보자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알고리즘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은 계산대마다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명의 손님이 줄을 서서 계산하므로 첫 번째 손님이 있는 계산대의 소요 시간이 가장 오래 걸린다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그러므로 모든 손님이 계산을 마치는 데 최대 </t>
    </r>
    <r>
      <rPr>
        <sz val="10"/>
        <rFont val="Malgun Gothic"/>
        <family val="0"/>
        <charset val="1"/>
      </rPr>
      <t xml:space="preserve">16</t>
    </r>
    <r>
      <rPr>
        <sz val="10"/>
        <rFont val="Noto Sans CJK SC"/>
        <family val="2"/>
      </rPr>
      <t xml:space="preserve">분이 걸린다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그러나 알고리즘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는 한 줄로 서 있다가 앞의 손님이 계산을 마치면 다음 손님이 빈 계산대에서 계산할 수 있으므로 최대 </t>
    </r>
    <r>
      <rPr>
        <sz val="10"/>
        <rFont val="Malgun Gothic"/>
        <family val="0"/>
        <charset val="1"/>
      </rPr>
      <t xml:space="preserve">12</t>
    </r>
    <r>
      <rPr>
        <sz val="10"/>
        <rFont val="Noto Sans CJK SC"/>
        <family val="2"/>
      </rPr>
      <t xml:space="preserve">분이 걸린다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알고리즘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를 이용하면 시간이 적게 걸려 더 효율적임을 알 수 있다</t>
    </r>
    <r>
      <rPr>
        <sz val="10"/>
        <rFont val="Malgun Gothic"/>
        <family val="0"/>
        <charset val="1"/>
      </rPr>
      <t xml:space="preserve">.</t>
    </r>
  </si>
  <si>
    <t xml:space="preserve">92, 93</t>
  </si>
  <si>
    <t xml:space="preserve">ko-legend-4-03</t>
  </si>
  <si>
    <t xml:space="preserve">알고리즘의 조건</t>
  </si>
  <si>
    <r>
      <rPr>
        <sz val="10"/>
        <rFont val="Noto Sans CJK SC"/>
        <family val="2"/>
      </rPr>
      <t xml:space="preserve">알고리즘은 특정 문제를 해결하는 절차나 방법이다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알고리즘으로 표현하기 위해서는 추상화 과정을 거쳐 추출한 핵심 요소를 초기 상태에서 목표 상태로 변화시키는 과정이 필요하다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일상생활의 문제를 해결할 때도 알고리즘은 중요한 역할을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요리하는 순서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로그인하는 과정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자동판매기의 작동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길 찾기 문제 등에도 알고리즘이 활용되고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주어진 문제를 빠르고 효율적으로 해결하기 위해 필요한 알고리즘은 프로그래밍에서 매우 중요한 역할을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컴퓨팅 시스템에 활용하는 알고리즘은 입력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출력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명확성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수행 가능성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유한성 등의 조건을 갖추어야 한다</t>
    </r>
    <r>
      <rPr>
        <sz val="10"/>
        <rFont val="Malgun Gothic"/>
        <family val="0"/>
        <charset val="1"/>
      </rPr>
      <t xml:space="preserve">.</t>
    </r>
  </si>
  <si>
    <t xml:space="preserve">86, 87</t>
  </si>
  <si>
    <t xml:space="preserve">ko-legend-4-04</t>
  </si>
  <si>
    <r>
      <rPr>
        <sz val="10"/>
        <rFont val="Noto Sans CJK SC"/>
        <family val="2"/>
      </rPr>
      <t xml:space="preserve">개인 정보란 살아 있는 개인에 관한 정보를 말한다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개인 정보는 이름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주민 등록 번호 등과 같이 개인을 알아볼 수 있는 정보이며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해당 정보만으로는 특정 개인을 알아볼 수 없더라도 다른 정보와 결합하여 쉽게 개인을 알아볼 수 있는 정보라면 개인 정보에 해당한다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디지털 사회가 점점 발전하며 개인을 알아볼 수 있는 범위가 늘어나면서 개인 정보의 범위와 영역이 확장되고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개인 정보가 디지털화되면서 온라인상에 유출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동의 없는 수집 및 이용 등의 피해 사례가 빈번하게 발생하고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따라서 스스로 개인 정보 보호 방법을 알고 실천하려는 노력이 필요하다</t>
    </r>
    <r>
      <rPr>
        <sz val="10"/>
        <rFont val="Malgun Gothic"/>
        <family val="0"/>
        <charset val="1"/>
      </rPr>
      <t xml:space="preserve">.</t>
    </r>
  </si>
  <si>
    <t xml:space="preserve">210, 211</t>
  </si>
  <si>
    <t xml:space="preserve">ko-legend-4-05</t>
  </si>
  <si>
    <t xml:space="preserve">데이터 수집</t>
  </si>
  <si>
    <r>
      <rPr>
        <sz val="10"/>
        <rFont val="Noto Sans CJK SC"/>
        <family val="2"/>
      </rPr>
      <t xml:space="preserve">우리는 일상생활에서 다양한 문제를 접하게 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이때 문제와 관련된 데이터를 이용하면 문제를 보다 정확하게 이해할 수 있고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빠르고 효율적으로 문제를 해결하는 데 도움이 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데이터를 수집할 때는 문제의 유형에 따라 설문 조사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인터뷰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관찰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실험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문헌 조사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동영상 촬영 등 다양한 방법을 사용할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컴퓨팅 시스템을 이용하면 공공 데이터 포털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검색 엔진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동영상 공유 사이트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블로그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인터넷 뉴스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온라인 설문 조사 등으로 많은 양의 데이터를 빠르고 편리하게 수집할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인터넷으로 데이터를 수집할 때는 출처가 명확하고 신뢰성 있는 데이터를 찾는 것이 중요하다</t>
    </r>
    <r>
      <rPr>
        <sz val="10"/>
        <rFont val="Malgun Gothic"/>
        <family val="0"/>
        <charset val="1"/>
      </rPr>
      <t xml:space="preserve">.</t>
    </r>
  </si>
  <si>
    <t xml:space="preserve">50, 51</t>
  </si>
  <si>
    <t xml:space="preserve">ko-legend-4-06</t>
  </si>
  <si>
    <t xml:space="preserve">운영체제가 하는 일</t>
  </si>
  <si>
    <r>
      <rPr>
        <sz val="10"/>
        <rFont val="Noto Sans CJK SC"/>
        <family val="2"/>
      </rPr>
      <t xml:space="preserve">운영체제는 컴퓨팅 시스템이 원활하게 동작하기 위해 필요한 소프트웨어로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컴퓨팅 시스템의 한정된 자원을 효율적으로 관리하고 활용할 수 있도록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운영체제는 프로세스 관리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파일 관리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주기억 장치 관리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입출력 장치 관리 등 다양한 역할을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프로세스는 컴퓨팅 시스템에서 현재 실행 중인 프로그램이나 작업을 말한다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운영체제는 실행 중인 여러 개의 프로세스가 정상적으로 동작할 수 있도록 순서와 방법을 제어하여 프로세스를 보호하고 관리한다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운영체제가 파일의 저장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삭제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복사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검색 등의 관리를 돕고 폴더를 이용해 파일을 체계적으로 관리할 수 있도록 지원한다</t>
    </r>
    <r>
      <rPr>
        <sz val="10"/>
        <rFont val="Malgun Gothic"/>
        <family val="0"/>
        <charset val="1"/>
      </rPr>
      <t xml:space="preserve">.</t>
    </r>
  </si>
  <si>
    <t xml:space="preserve">ko-legend-5-01</t>
  </si>
  <si>
    <t xml:space="preserve">디지털 사회와 직업</t>
  </si>
  <si>
    <r>
      <rPr>
        <sz val="10"/>
        <rFont val="Noto Sans CJK SC"/>
        <family val="2"/>
      </rPr>
      <t xml:space="preserve">직업은 시대의 흐름에 따라 생기고 사라지는 현상을 반복해 왔다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디지털 기술의 발달에 따라 단순 반복 작업이 주로 이루어지는 직업은 컴퓨팅 시스템으로 대체되고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반면에 새로운 디지털 기술이 개발되면서 그와 관련된 수많은 직업이 새로 생겨나기도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따라서 자신의 진로를 수립하기 위해서는 디지털 사회의 변화를 이해하고 관심 있는 직업군이 어떠한 변화를 겪을 것인지 주의 깊게 살펴보려는 노력이 필요하다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다양한 직업에 디지털 기술이 활용되면서 직업에서 필요한 역량도 변화하고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급변하는 디지털 사회에서 자신의 진로를 결정하고 준비하려면 필요한 직업 역량을 알아야 한다</t>
    </r>
    <r>
      <rPr>
        <sz val="10"/>
        <rFont val="Malgun Gothic"/>
        <family val="0"/>
        <charset val="1"/>
      </rPr>
      <t xml:space="preserve">.</t>
    </r>
  </si>
  <si>
    <t xml:space="preserve">196, 197</t>
  </si>
  <si>
    <t xml:space="preserve">ko-legend-5-02</t>
  </si>
  <si>
    <t xml:space="preserve">데이터 분석과 시각화</t>
  </si>
  <si>
    <r>
      <rPr>
        <sz val="10"/>
        <rFont val="Noto Sans CJK SC"/>
        <family val="2"/>
      </rPr>
      <t xml:space="preserve">데이터를 해석하기 위해서는 구조화된 데이터에서 규칙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추세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관계 등을 파악하는 데이터 분석 단계를 거쳐야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예를 들어 출산 장려 정책을 세우기 위해 시도별 인구 분포를 알아보려면 시도별 인구수 데이터를 수집하고 평균값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최솟값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최댓값 등의 통계적인 방법으로 분석한 후 데이터를 해석할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데이터 시각화는 데이터 간의 관계를 알기 쉽게 하고 데이터의 분석 결과를 효율적으로 전달하기 위해서 시각적으로 표현하는 것이다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데이터를 시각화할 때는 데이터의 종류와 사용자의 목적에 맞게 적절한 방법을 선택하는 것이 중요하다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데이터를 시각화하는 방법에는 막대 그래프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버블 차트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워드 클라우드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인포그래픽 등이 있다</t>
    </r>
    <r>
      <rPr>
        <sz val="10"/>
        <rFont val="Malgun Gothic"/>
        <family val="0"/>
        <charset val="1"/>
      </rPr>
      <t xml:space="preserve">.</t>
    </r>
  </si>
  <si>
    <t xml:space="preserve">65, 66</t>
  </si>
  <si>
    <t xml:space="preserve">ko-legend-5-03</t>
  </si>
  <si>
    <t xml:space="preserve">우주와 디지털 사회</t>
  </si>
  <si>
    <r>
      <rPr>
        <sz val="10"/>
        <rFont val="Noto Sans CJK SC"/>
        <family val="2"/>
      </rPr>
      <t xml:space="preserve">인간이 우주에서 살 수 있을까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수많은 기업이 우주 관광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화성 이주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광물 자원 발굴 등 높은 가치를 지닌 우주 산업에 투자하고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과거에는 기술적인 한계와 무리한 비용으로 불가능했던 일이 컴퓨팅 시스템과 디지털 기술의 발전으로 가능해지고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디지털 사회는 디지털이 사회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경제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문화 등 다양한 분야에 큰 영향을 끼치는 사회를 말한다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디지털 기술의 발달로 각종 데이터가 디지털화되면서 컴퓨팅 시스템에 저장할 수 있는 데이터의 양이 급속도로 늘어났을 뿐만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산업 전반을 비롯해 생활 속 많은 부분이 디지털화되었다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디지털 사회에서는 이를 활용해 만든 새로운 지식과 기술이 사회 곳곳에 활용되고 있다</t>
    </r>
    <r>
      <rPr>
        <sz val="10"/>
        <rFont val="Malgun Gothic"/>
        <family val="0"/>
        <charset val="1"/>
      </rPr>
      <t xml:space="preserve">.</t>
    </r>
  </si>
  <si>
    <t xml:space="preserve">190, 191</t>
  </si>
  <si>
    <t xml:space="preserve">ko-legend-5-04</t>
  </si>
  <si>
    <t xml:space="preserve">디지털 저작물과 공공누리</t>
  </si>
  <si>
    <r>
      <rPr>
        <sz val="10"/>
        <rFont val="Noto Sans CJK SC"/>
        <family val="2"/>
      </rPr>
      <t xml:space="preserve">디지털 저작물은 디지털화된 저작물을 총칭하는 말이다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컴퓨팅 시스템으로 작성한 건축 설계 도면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음악 파일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영화 파일 모두 디지털 저작물에 속한다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디지털 저작물의 하나인 소프트웨어는 사용 범위에 따라 상용 소프트웨어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쉐어웨어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프리웨어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오픈 소스 소프트웨어로 구분된다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우리나라의 공공누리 제도는 대한민국 기관에서 만든 공공 저작물을 일정한 조건하에 다른 사람들이 자유롭게 이용할 수 있도록 허락하는 제도이다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저작물별로 적용된 유형별 이용 조건에 따라 자유롭게 이용 가능하다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 표시로 저작자는 자신의 권리를 지키고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저작물을 자유롭게 공유해 재창작이 가능하게 함으로써 사람들이 다양한 저작물을 만들 수 있도록 돕는다</t>
    </r>
    <r>
      <rPr>
        <sz val="10"/>
        <rFont val="Malgun Gothic"/>
        <family val="0"/>
        <charset val="1"/>
      </rPr>
      <t xml:space="preserve">.</t>
    </r>
  </si>
  <si>
    <t xml:space="preserve">ko-legend-5-05</t>
  </si>
  <si>
    <t xml:space="preserve">미래의 입력 장치</t>
  </si>
  <si>
    <r>
      <rPr>
        <sz val="10"/>
        <rFont val="Noto Sans CJK SC"/>
        <family val="2"/>
      </rPr>
      <t xml:space="preserve">우리가 알고 있는 입력 장치에는 키보드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마우스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터치 스크린 등이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미래에는 어떤 입력 장치들이 사용될까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홀로그램 키보드는 가상의 키보드로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공간에 홀로그램 형태로 표시된 키보드를 사용자가 누르면 컴퓨터가 인식할 수 있도록 하는 장치이다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키보드를 가지고 다니지 않아도 되기 때문에 휴대가 편리한 입력 장치로 미래에 널리 사용될 수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동작 인식은 사람의 동작을 인식하여 컴퓨터에 명령을 내리는 기술로 카메라나 센서를 사용해 사용자의 동작을 인식하고 해당 동작에 맞게 명령을 내리는 기술이다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음성 인식은 사람이 음성으로 명령하면 컴퓨터에 입력하는 기술로 현재에도 활용되고 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앞으로 기술이 더 발전하면 정교하고 자연스러운 음성 인식 기술이 개발될 것이다</t>
    </r>
    <r>
      <rPr>
        <sz val="10"/>
        <rFont val="Malgun Gothic"/>
        <family val="0"/>
        <charset val="1"/>
      </rPr>
      <t xml:space="preserve">.</t>
    </r>
  </si>
  <si>
    <t xml:space="preserve">소제목을 문장 주어로 넣음</t>
  </si>
  <si>
    <t xml:space="preserve">ko-legend-5-06</t>
  </si>
  <si>
    <t xml:space="preserve">인공지능에 좋은 데이터</t>
  </si>
  <si>
    <r>
      <rPr>
        <sz val="10"/>
        <rFont val="Noto Sans CJK SC"/>
        <family val="2"/>
      </rPr>
      <t xml:space="preserve">품질이 낮은 데이터로 학습한 인공지능 시스템은 정확도가 낮아진다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화질이 선명한 이미지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잡음이 없는 소리 등과 같이 품질 좋은 데이터를 사용해야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인공지능 시스템은 데이터에서 공통된 특징을 찾으며 학습한다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따라서 그 특징이 잘 포함된 데이터가 필요하다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예를 들어 개를 인식할 수 있는 인공지능 시스템을 만든다면 개의 앞모습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옆모습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전체 모습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꼬리 등과 같은 개의 특성이 잘 드러난 이미지 데이터가 있어야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인공지능 학습에 사용하는 데이터는 어느 한쪽에 치우치지 않도록 대표성을 띄어야 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데이터에 사람들의 편견이 포함되어 있다면 인공지능 시스템 역시 편향된 판단 결과를 내놓을 수밖에 없다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인공지능 시스템은 성별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민족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문화 등에 대한 차별이 없는 데이터를 사용하여 개발해야 한다</t>
    </r>
    <r>
      <rPr>
        <sz val="10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</si>
</sst>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05C"/>
      <name val="Noto Sans CJK SC"/>
      <family val="2"/>
    </font>
    <font>
      <b val="true"/>
      <sz val="14"/>
      <color rgb="FF16205C"/>
      <name val="Malgun Gothic"/>
      <family val="0"/>
      <charset val="1"/>
    </font>
    <font>
      <sz val="11"/>
      <name val="Malgun Gothic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b val="true"/>
      <sz val="11"/>
      <name val="Malgun Gothic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Malgun Gothic"/>
      <family val="0"/>
      <charset val="1"/>
    </font>
    <font>
      <sz val="10"/>
      <name val="Noto Sans CJK SC"/>
      <family val="2"/>
    </font>
    <font>
      <sz val="10"/>
      <name val="Malgun Gothic"/>
      <family val="0"/>
      <charset val="1"/>
    </font>
    <font>
      <b val="true"/>
      <sz val="10"/>
      <name val="Noto Sans CJK SC"/>
      <family val="2"/>
    </font>
    <font>
      <b val="true"/>
      <sz val="10"/>
      <name val="Malgun Gothic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6205C"/>
        <bgColor rgb="FF333333"/>
      </patternFill>
    </fill>
    <fill>
      <patternFill patternType="solid">
        <fgColor rgb="FFF3E3D6"/>
        <bgColor rgb="FFFFE3F0"/>
      </patternFill>
    </fill>
    <fill>
      <patternFill patternType="solid">
        <fgColor rgb="FFEEF1F4"/>
        <bgColor rgb="FFDDF2FF"/>
      </patternFill>
    </fill>
    <fill>
      <patternFill patternType="solid">
        <fgColor rgb="FFFFF6CC"/>
        <bgColor rgb="FFFFF2A8"/>
      </patternFill>
    </fill>
    <fill>
      <patternFill patternType="solid">
        <fgColor rgb="FFDDF2FF"/>
        <bgColor rgb="FFEEF1F4"/>
      </patternFill>
    </fill>
    <fill>
      <patternFill patternType="solid">
        <fgColor rgb="FFEDE4FF"/>
        <bgColor rgb="FFEEF1F4"/>
      </patternFill>
    </fill>
    <fill>
      <patternFill patternType="solid">
        <fgColor rgb="FFFFE3F0"/>
        <bgColor rgb="FFF3E3D6"/>
      </patternFill>
    </fill>
    <fill>
      <patternFill patternType="solid">
        <fgColor rgb="FFFFF2A8"/>
        <bgColor rgb="FFFFF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CD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6205C"/>
          <bgColor rgb="FF000000"/>
        </patternFill>
      </fill>
    </dxf>
    <dxf>
      <fill>
        <patternFill patternType="solid">
          <fgColor rgb="FFDDF2FF"/>
          <bgColor rgb="FF000000"/>
        </patternFill>
      </fill>
    </dxf>
    <dxf>
      <fill>
        <patternFill patternType="solid">
          <fgColor rgb="FFEDE4FF"/>
          <bgColor rgb="FF000000"/>
        </patternFill>
      </fill>
    </dxf>
    <dxf>
      <fill>
        <patternFill patternType="solid">
          <fgColor rgb="FFEEF1F4"/>
          <bgColor rgb="FF000000"/>
        </patternFill>
      </fill>
    </dxf>
    <dxf>
      <fill>
        <patternFill patternType="solid">
          <fgColor rgb="FFF3E3D6"/>
          <bgColor rgb="FF000000"/>
        </patternFill>
      </fill>
    </dxf>
    <dxf>
      <fill>
        <patternFill patternType="solid">
          <fgColor rgb="FFFFE3F0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A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E3F0"/>
      <rgbColor rgb="FF808080"/>
      <rgbColor rgb="FF9999FF"/>
      <rgbColor rgb="FF993366"/>
      <rgbColor rgb="FFFFF6CC"/>
      <rgbColor rgb="FFDDF2FF"/>
      <rgbColor rgb="FF660066"/>
      <rgbColor rgb="FFFF8080"/>
      <rgbColor rgb="FF0066CC"/>
      <rgbColor rgb="FFC8CD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4"/>
      <rgbColor rgb="FFEDE4FF"/>
      <rgbColor rgb="FFFFF2A8"/>
      <rgbColor rgb="FF99CCFF"/>
      <rgbColor rgb="FFFF99CC"/>
      <rgbColor rgb="FFCC99FF"/>
      <rgbColor rgb="FFF3E3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20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41.7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7.15" hidden="false" customHeight="false" outlineLevel="0" collapsed="false">
      <c r="A3" s="3" t="s">
        <v>1</v>
      </c>
      <c r="B3" s="2"/>
    </row>
    <row r="4" customFormat="false" ht="95.5" hidden="false" customHeight="false" outlineLevel="0" collapsed="false">
      <c r="A4" s="2" t="s">
        <v>2</v>
      </c>
      <c r="B4" s="2"/>
    </row>
    <row r="5" customFormat="false" ht="64.15" hidden="false" customHeight="false" outlineLevel="0" collapsed="false">
      <c r="A5" s="4" t="s">
        <v>3</v>
      </c>
      <c r="B5" s="2"/>
    </row>
    <row r="6" customFormat="false" ht="15" hidden="false" customHeight="false" outlineLevel="0" collapsed="false">
      <c r="A6" s="2"/>
      <c r="B6" s="2"/>
    </row>
    <row r="7" customFormat="false" ht="17.15" hidden="false" customHeight="false" outlineLevel="0" collapsed="false">
      <c r="A7" s="3" t="s">
        <v>4</v>
      </c>
      <c r="B7" s="2"/>
    </row>
    <row r="8" customFormat="false" ht="17.15" hidden="false" customHeight="false" outlineLevel="0" collapsed="false">
      <c r="A8" s="2" t="s">
        <v>5</v>
      </c>
      <c r="B8" s="4" t="s">
        <v>6</v>
      </c>
    </row>
    <row r="9" customFormat="false" ht="17.15" hidden="false" customHeight="false" outlineLevel="0" collapsed="false">
      <c r="A9" s="4" t="s">
        <v>7</v>
      </c>
      <c r="B9" s="4" t="s">
        <v>8</v>
      </c>
    </row>
    <row r="10" customFormat="false" ht="17.15" hidden="false" customHeight="false" outlineLevel="0" collapsed="false">
      <c r="A10" s="4" t="s">
        <v>9</v>
      </c>
      <c r="B10" s="4" t="s">
        <v>10</v>
      </c>
    </row>
    <row r="11" customFormat="false" ht="17.15" hidden="false" customHeight="false" outlineLevel="0" collapsed="false">
      <c r="A11" s="4" t="s">
        <v>11</v>
      </c>
      <c r="B11" s="4" t="s">
        <v>12</v>
      </c>
    </row>
    <row r="12" customFormat="false" ht="17.15" hidden="false" customHeight="false" outlineLevel="0" collapsed="false">
      <c r="A12" s="4" t="s">
        <v>13</v>
      </c>
      <c r="B12" s="4" t="s">
        <v>14</v>
      </c>
    </row>
    <row r="13" customFormat="false" ht="17.15" hidden="false" customHeight="false" outlineLevel="0" collapsed="false">
      <c r="A13" s="4" t="s">
        <v>15</v>
      </c>
      <c r="B13" s="4" t="s">
        <v>16</v>
      </c>
    </row>
    <row r="14" customFormat="false" ht="17.15" hidden="false" customHeight="false" outlineLevel="0" collapsed="false">
      <c r="A14" s="4" t="s">
        <v>17</v>
      </c>
      <c r="B14" s="4" t="s">
        <v>18</v>
      </c>
    </row>
    <row r="15" customFormat="false" ht="17.15" hidden="false" customHeight="false" outlineLevel="0" collapsed="false">
      <c r="A15" s="4" t="s">
        <v>19</v>
      </c>
      <c r="B15" s="4" t="s">
        <v>20</v>
      </c>
    </row>
    <row r="16" customFormat="false" ht="15" hidden="false" customHeight="false" outlineLevel="0" collapsed="false">
      <c r="A16" s="2"/>
      <c r="B16" s="2"/>
    </row>
    <row r="17" customFormat="false" ht="17.15" hidden="false" customHeight="false" outlineLevel="0" collapsed="false">
      <c r="A17" s="3" t="s">
        <v>21</v>
      </c>
      <c r="B17" s="2"/>
    </row>
    <row r="18" customFormat="false" ht="64.15" hidden="false" customHeight="false" outlineLevel="0" collapsed="false">
      <c r="A18" s="2" t="s">
        <v>22</v>
      </c>
      <c r="B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7" min="6" style="0" width="8"/>
    <col collapsed="false" customWidth="true" hidden="false" outlineLevel="0" max="8" min="8" style="0" width="12"/>
  </cols>
  <sheetData>
    <row r="1" customFormat="false" ht="31.3" hidden="false" customHeight="fals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</row>
    <row r="2" customFormat="false" ht="15" hidden="false" customHeight="false" outlineLevel="0" collapsed="false">
      <c r="A2" s="6" t="s">
        <v>31</v>
      </c>
      <c r="B2" s="6" t="n">
        <v>1</v>
      </c>
      <c r="C2" s="6" t="n">
        <v>40</v>
      </c>
      <c r="D2" s="6" t="n">
        <f aca="false">COUNTIFS('전체 지문'!$B:$B,$A2,'전체 지문'!$C:$C,$B2)</f>
        <v>10</v>
      </c>
      <c r="E2" s="7" t="n">
        <f aca="false">IFERROR(AVERAGEIFS('전체 지문'!$K:$K,'전체 지문'!$B:$B,$A2,'전체 지문'!$C:$C,$B2),0)</f>
        <v>40.7</v>
      </c>
      <c r="F2" s="6" t="n">
        <f aca="false">COUNTIFS('전체 지문'!$B:$B,$A2,'전체 지문'!$C:$C,$B2,'전체 지문'!$P:$P,"사용")</f>
        <v>10</v>
      </c>
      <c r="G2" s="6" t="n">
        <f aca="false">COUNTIFS('전체 지문'!$B:$B,$A2,'전체 지문'!$C:$C,$B2,'전체 지문'!$P:$P,"빼기")</f>
        <v>0</v>
      </c>
      <c r="H2" s="6" t="n">
        <f aca="false">COUNTIFS('전체 지문'!$B:$B,$A2,'전체 지문'!$C:$C,$B2,'전체 지문'!$P:$P,"고쳐서 사용")</f>
        <v>0</v>
      </c>
    </row>
    <row r="3" customFormat="false" ht="15" hidden="false" customHeight="false" outlineLevel="0" collapsed="false">
      <c r="A3" s="6" t="s">
        <v>31</v>
      </c>
      <c r="B3" s="6" t="n">
        <v>2</v>
      </c>
      <c r="C3" s="6" t="n">
        <v>50</v>
      </c>
      <c r="D3" s="6" t="n">
        <f aca="false">COUNTIFS('전체 지문'!$B:$B,$A3,'전체 지문'!$C:$C,$B3)</f>
        <v>10</v>
      </c>
      <c r="E3" s="7" t="n">
        <f aca="false">IFERROR(AVERAGEIFS('전체 지문'!$K:$K,'전체 지문'!$B:$B,$A3,'전체 지문'!$C:$C,$B3),0)</f>
        <v>34</v>
      </c>
      <c r="F3" s="6" t="n">
        <f aca="false">COUNTIFS('전체 지문'!$B:$B,$A3,'전체 지문'!$C:$C,$B3,'전체 지문'!$P:$P,"사용")</f>
        <v>10</v>
      </c>
      <c r="G3" s="6" t="n">
        <f aca="false">COUNTIFS('전체 지문'!$B:$B,$A3,'전체 지문'!$C:$C,$B3,'전체 지문'!$P:$P,"빼기")</f>
        <v>0</v>
      </c>
      <c r="H3" s="6" t="n">
        <f aca="false">COUNTIFS('전체 지문'!$B:$B,$A3,'전체 지문'!$C:$C,$B3,'전체 지문'!$P:$P,"고쳐서 사용")</f>
        <v>0</v>
      </c>
    </row>
    <row r="4" customFormat="false" ht="15" hidden="false" customHeight="false" outlineLevel="0" collapsed="false">
      <c r="A4" s="6" t="s">
        <v>31</v>
      </c>
      <c r="B4" s="6" t="n">
        <v>3</v>
      </c>
      <c r="C4" s="6" t="n">
        <v>60</v>
      </c>
      <c r="D4" s="6" t="n">
        <f aca="false">COUNTIFS('전체 지문'!$B:$B,$A4,'전체 지문'!$C:$C,$B4)</f>
        <v>10</v>
      </c>
      <c r="E4" s="7" t="n">
        <f aca="false">IFERROR(AVERAGEIFS('전체 지문'!$K:$K,'전체 지문'!$B:$B,$A4,'전체 지문'!$C:$C,$B4),0)</f>
        <v>30.5</v>
      </c>
      <c r="F4" s="6" t="n">
        <f aca="false">COUNTIFS('전체 지문'!$B:$B,$A4,'전체 지문'!$C:$C,$B4,'전체 지문'!$P:$P,"사용")</f>
        <v>10</v>
      </c>
      <c r="G4" s="6" t="n">
        <f aca="false">COUNTIFS('전체 지문'!$B:$B,$A4,'전체 지문'!$C:$C,$B4,'전체 지문'!$P:$P,"빼기")</f>
        <v>0</v>
      </c>
      <c r="H4" s="6" t="n">
        <f aca="false">COUNTIFS('전체 지문'!$B:$B,$A4,'전체 지문'!$C:$C,$B4,'전체 지문'!$P:$P,"고쳐서 사용")</f>
        <v>0</v>
      </c>
    </row>
    <row r="5" customFormat="false" ht="15" hidden="false" customHeight="false" outlineLevel="0" collapsed="false">
      <c r="A5" s="6" t="s">
        <v>31</v>
      </c>
      <c r="B5" s="6" t="n">
        <v>4</v>
      </c>
      <c r="C5" s="6" t="n">
        <v>70</v>
      </c>
      <c r="D5" s="6" t="n">
        <f aca="false">COUNTIFS('전체 지문'!$B:$B,$A5,'전체 지문'!$C:$C,$B5)</f>
        <v>10</v>
      </c>
      <c r="E5" s="7" t="n">
        <f aca="false">IFERROR(AVERAGEIFS('전체 지문'!$K:$K,'전체 지문'!$B:$B,$A5,'전체 지문'!$C:$C,$B5),0)</f>
        <v>24.8</v>
      </c>
      <c r="F5" s="6" t="n">
        <f aca="false">COUNTIFS('전체 지문'!$B:$B,$A5,'전체 지문'!$C:$C,$B5,'전체 지문'!$P:$P,"사용")</f>
        <v>10</v>
      </c>
      <c r="G5" s="6" t="n">
        <f aca="false">COUNTIFS('전체 지문'!$B:$B,$A5,'전체 지문'!$C:$C,$B5,'전체 지문'!$P:$P,"빼기")</f>
        <v>0</v>
      </c>
      <c r="H5" s="6" t="n">
        <f aca="false">COUNTIFS('전체 지문'!$B:$B,$A5,'전체 지문'!$C:$C,$B5,'전체 지문'!$P:$P,"고쳐서 사용")</f>
        <v>0</v>
      </c>
    </row>
    <row r="6" customFormat="false" ht="15" hidden="false" customHeight="false" outlineLevel="0" collapsed="false">
      <c r="A6" s="6" t="s">
        <v>31</v>
      </c>
      <c r="B6" s="6" t="n">
        <v>5</v>
      </c>
      <c r="C6" s="6" t="n">
        <v>80</v>
      </c>
      <c r="D6" s="6" t="n">
        <f aca="false">COUNTIFS('전체 지문'!$B:$B,$A6,'전체 지문'!$C:$C,$B6)</f>
        <v>10</v>
      </c>
      <c r="E6" s="7" t="n">
        <f aca="false">IFERROR(AVERAGEIFS('전체 지문'!$K:$K,'전체 지문'!$B:$B,$A6,'전체 지문'!$C:$C,$B6),0)</f>
        <v>22.5</v>
      </c>
      <c r="F6" s="6" t="n">
        <f aca="false">COUNTIFS('전체 지문'!$B:$B,$A6,'전체 지문'!$C:$C,$B6,'전체 지문'!$P:$P,"사용")</f>
        <v>10</v>
      </c>
      <c r="G6" s="6" t="n">
        <f aca="false">COUNTIFS('전체 지문'!$B:$B,$A6,'전체 지문'!$C:$C,$B6,'전체 지문'!$P:$P,"빼기")</f>
        <v>0</v>
      </c>
      <c r="H6" s="6" t="n">
        <f aca="false">COUNTIFS('전체 지문'!$B:$B,$A6,'전체 지문'!$C:$C,$B6,'전체 지문'!$P:$P,"고쳐서 사용")</f>
        <v>0</v>
      </c>
    </row>
    <row r="7" customFormat="false" ht="15" hidden="false" customHeight="false" outlineLevel="0" collapsed="false">
      <c r="A7" s="8" t="s">
        <v>32</v>
      </c>
      <c r="B7" s="8" t="n">
        <v>1</v>
      </c>
      <c r="C7" s="8" t="n">
        <v>95</v>
      </c>
      <c r="D7" s="8" t="n">
        <f aca="false">COUNTIFS('전체 지문'!$B:$B,$A7,'전체 지문'!$C:$C,$B7)</f>
        <v>30</v>
      </c>
      <c r="E7" s="9" t="n">
        <f aca="false">IFERROR(AVERAGEIFS('전체 지문'!$K:$K,'전체 지문'!$B:$B,$A7,'전체 지문'!$C:$C,$B7),0)</f>
        <v>3.53333333333333</v>
      </c>
      <c r="F7" s="8" t="n">
        <f aca="false">COUNTIFS('전체 지문'!$B:$B,$A7,'전체 지문'!$C:$C,$B7,'전체 지문'!$P:$P,"사용")</f>
        <v>30</v>
      </c>
      <c r="G7" s="8" t="n">
        <f aca="false">COUNTIFS('전체 지문'!$B:$B,$A7,'전체 지문'!$C:$C,$B7,'전체 지문'!$P:$P,"빼기")</f>
        <v>0</v>
      </c>
      <c r="H7" s="8" t="n">
        <f aca="false">COUNTIFS('전체 지문'!$B:$B,$A7,'전체 지문'!$C:$C,$B7,'전체 지문'!$P:$P,"고쳐서 사용")</f>
        <v>0</v>
      </c>
    </row>
    <row r="8" customFormat="false" ht="15" hidden="false" customHeight="false" outlineLevel="0" collapsed="false">
      <c r="A8" s="8" t="s">
        <v>32</v>
      </c>
      <c r="B8" s="8" t="n">
        <v>2</v>
      </c>
      <c r="C8" s="8" t="n">
        <v>106</v>
      </c>
      <c r="D8" s="8" t="n">
        <f aca="false">COUNTIFS('전체 지문'!$B:$B,$A8,'전체 지문'!$C:$C,$B8)</f>
        <v>30</v>
      </c>
      <c r="E8" s="9" t="n">
        <f aca="false">IFERROR(AVERAGEIFS('전체 지문'!$K:$K,'전체 지문'!$B:$B,$A8,'전체 지문'!$C:$C,$B8),0)</f>
        <v>4.56666666666667</v>
      </c>
      <c r="F8" s="8" t="n">
        <f aca="false">COUNTIFS('전체 지문'!$B:$B,$A8,'전체 지문'!$C:$C,$B8,'전체 지문'!$P:$P,"사용")</f>
        <v>30</v>
      </c>
      <c r="G8" s="8" t="n">
        <f aca="false">COUNTIFS('전체 지문'!$B:$B,$A8,'전체 지문'!$C:$C,$B8,'전체 지문'!$P:$P,"빼기")</f>
        <v>0</v>
      </c>
      <c r="H8" s="8" t="n">
        <f aca="false">COUNTIFS('전체 지문'!$B:$B,$A8,'전체 지문'!$C:$C,$B8,'전체 지문'!$P:$P,"고쳐서 사용")</f>
        <v>0</v>
      </c>
    </row>
    <row r="9" customFormat="false" ht="15" hidden="false" customHeight="false" outlineLevel="0" collapsed="false">
      <c r="A9" s="8" t="s">
        <v>32</v>
      </c>
      <c r="B9" s="8" t="n">
        <v>3</v>
      </c>
      <c r="C9" s="8" t="n">
        <v>118</v>
      </c>
      <c r="D9" s="8" t="n">
        <f aca="false">COUNTIFS('전체 지문'!$B:$B,$A9,'전체 지문'!$C:$C,$B9)</f>
        <v>30</v>
      </c>
      <c r="E9" s="9" t="n">
        <f aca="false">IFERROR(AVERAGEIFS('전체 지문'!$K:$K,'전체 지문'!$B:$B,$A9,'전체 지문'!$C:$C,$B9),0)</f>
        <v>5.2</v>
      </c>
      <c r="F9" s="8" t="n">
        <f aca="false">COUNTIFS('전체 지문'!$B:$B,$A9,'전체 지문'!$C:$C,$B9,'전체 지문'!$P:$P,"사용")</f>
        <v>30</v>
      </c>
      <c r="G9" s="8" t="n">
        <f aca="false">COUNTIFS('전체 지문'!$B:$B,$A9,'전체 지문'!$C:$C,$B9,'전체 지문'!$P:$P,"빼기")</f>
        <v>0</v>
      </c>
      <c r="H9" s="8" t="n">
        <f aca="false">COUNTIFS('전체 지문'!$B:$B,$A9,'전체 지문'!$C:$C,$B9,'전체 지문'!$P:$P,"고쳐서 사용")</f>
        <v>0</v>
      </c>
    </row>
    <row r="10" customFormat="false" ht="15" hidden="false" customHeight="false" outlineLevel="0" collapsed="false">
      <c r="A10" s="8" t="s">
        <v>32</v>
      </c>
      <c r="B10" s="8" t="n">
        <v>4</v>
      </c>
      <c r="C10" s="8" t="n">
        <v>129</v>
      </c>
      <c r="D10" s="8" t="n">
        <f aca="false">COUNTIFS('전체 지문'!$B:$B,$A10,'전체 지문'!$C:$C,$B10)</f>
        <v>30</v>
      </c>
      <c r="E10" s="9" t="n">
        <f aca="false">IFERROR(AVERAGEIFS('전체 지문'!$K:$K,'전체 지문'!$B:$B,$A10,'전체 지문'!$C:$C,$B10),0)</f>
        <v>5.63333333333333</v>
      </c>
      <c r="F10" s="8" t="n">
        <f aca="false">COUNTIFS('전체 지문'!$B:$B,$A10,'전체 지문'!$C:$C,$B10,'전체 지문'!$P:$P,"사용")</f>
        <v>30</v>
      </c>
      <c r="G10" s="8" t="n">
        <f aca="false">COUNTIFS('전체 지문'!$B:$B,$A10,'전체 지문'!$C:$C,$B10,'전체 지문'!$P:$P,"빼기")</f>
        <v>0</v>
      </c>
      <c r="H10" s="8" t="n">
        <f aca="false">COUNTIFS('전체 지문'!$B:$B,$A10,'전체 지문'!$C:$C,$B10,'전체 지문'!$P:$P,"고쳐서 사용")</f>
        <v>0</v>
      </c>
    </row>
    <row r="11" customFormat="false" ht="15" hidden="false" customHeight="false" outlineLevel="0" collapsed="false">
      <c r="A11" s="8" t="s">
        <v>32</v>
      </c>
      <c r="B11" s="8" t="n">
        <v>5</v>
      </c>
      <c r="C11" s="8" t="n">
        <v>140</v>
      </c>
      <c r="D11" s="8" t="n">
        <f aca="false">COUNTIFS('전체 지문'!$B:$B,$A11,'전체 지문'!$C:$C,$B11)</f>
        <v>30</v>
      </c>
      <c r="E11" s="9" t="n">
        <f aca="false">IFERROR(AVERAGEIFS('전체 지문'!$K:$K,'전체 지문'!$B:$B,$A11,'전체 지문'!$C:$C,$B11),0)</f>
        <v>6.83333333333333</v>
      </c>
      <c r="F11" s="8" t="n">
        <f aca="false">COUNTIFS('전체 지문'!$B:$B,$A11,'전체 지문'!$C:$C,$B11,'전체 지문'!$P:$P,"사용")</f>
        <v>30</v>
      </c>
      <c r="G11" s="8" t="n">
        <f aca="false">COUNTIFS('전체 지문'!$B:$B,$A11,'전체 지문'!$C:$C,$B11,'전체 지문'!$P:$P,"빼기")</f>
        <v>0</v>
      </c>
      <c r="H11" s="8" t="n">
        <f aca="false">COUNTIFS('전체 지문'!$B:$B,$A11,'전체 지문'!$C:$C,$B11,'전체 지문'!$P:$P,"고쳐서 사용")</f>
        <v>0</v>
      </c>
    </row>
    <row r="12" customFormat="false" ht="15" hidden="false" customHeight="false" outlineLevel="0" collapsed="false">
      <c r="A12" s="10" t="s">
        <v>33</v>
      </c>
      <c r="B12" s="10" t="n">
        <v>1</v>
      </c>
      <c r="C12" s="10" t="n">
        <v>155</v>
      </c>
      <c r="D12" s="10" t="n">
        <f aca="false">COUNTIFS('전체 지문'!$B:$B,$A12,'전체 지문'!$C:$C,$B12)</f>
        <v>10</v>
      </c>
      <c r="E12" s="11" t="n">
        <f aca="false">IFERROR(AVERAGEIFS('전체 지문'!$K:$K,'전체 지문'!$B:$B,$A12,'전체 지문'!$C:$C,$B12),0)</f>
        <v>19</v>
      </c>
      <c r="F12" s="10" t="n">
        <f aca="false">COUNTIFS('전체 지문'!$B:$B,$A12,'전체 지문'!$C:$C,$B12,'전체 지문'!$P:$P,"사용")</f>
        <v>10</v>
      </c>
      <c r="G12" s="10" t="n">
        <f aca="false">COUNTIFS('전체 지문'!$B:$B,$A12,'전체 지문'!$C:$C,$B12,'전체 지문'!$P:$P,"빼기")</f>
        <v>0</v>
      </c>
      <c r="H12" s="10" t="n">
        <f aca="false">COUNTIFS('전체 지문'!$B:$B,$A12,'전체 지문'!$C:$C,$B12,'전체 지문'!$P:$P,"고쳐서 사용")</f>
        <v>0</v>
      </c>
    </row>
    <row r="13" customFormat="false" ht="15" hidden="false" customHeight="false" outlineLevel="0" collapsed="false">
      <c r="A13" s="10" t="s">
        <v>33</v>
      </c>
      <c r="B13" s="10" t="n">
        <v>2</v>
      </c>
      <c r="C13" s="10" t="n">
        <v>169</v>
      </c>
      <c r="D13" s="10" t="n">
        <f aca="false">COUNTIFS('전체 지문'!$B:$B,$A13,'전체 지문'!$C:$C,$B13)</f>
        <v>10</v>
      </c>
      <c r="E13" s="11" t="n">
        <f aca="false">IFERROR(AVERAGEIFS('전체 지문'!$K:$K,'전체 지문'!$B:$B,$A13,'전체 지문'!$C:$C,$B13),0)</f>
        <v>22.2</v>
      </c>
      <c r="F13" s="10" t="n">
        <f aca="false">COUNTIFS('전체 지문'!$B:$B,$A13,'전체 지문'!$C:$C,$B13,'전체 지문'!$P:$P,"사용")</f>
        <v>10</v>
      </c>
      <c r="G13" s="10" t="n">
        <f aca="false">COUNTIFS('전체 지문'!$B:$B,$A13,'전체 지문'!$C:$C,$B13,'전체 지문'!$P:$P,"빼기")</f>
        <v>0</v>
      </c>
      <c r="H13" s="10" t="n">
        <f aca="false">COUNTIFS('전체 지문'!$B:$B,$A13,'전체 지문'!$C:$C,$B13,'전체 지문'!$P:$P,"고쳐서 사용")</f>
        <v>0</v>
      </c>
    </row>
    <row r="14" customFormat="false" ht="15" hidden="false" customHeight="false" outlineLevel="0" collapsed="false">
      <c r="A14" s="10" t="s">
        <v>33</v>
      </c>
      <c r="B14" s="10" t="n">
        <v>3</v>
      </c>
      <c r="C14" s="10" t="n">
        <v>182</v>
      </c>
      <c r="D14" s="10" t="n">
        <f aca="false">COUNTIFS('전체 지문'!$B:$B,$A14,'전체 지문'!$C:$C,$B14)</f>
        <v>11</v>
      </c>
      <c r="E14" s="11" t="n">
        <f aca="false">IFERROR(AVERAGEIFS('전체 지문'!$K:$K,'전체 지문'!$B:$B,$A14,'전체 지문'!$C:$C,$B14),0)</f>
        <v>22.7272727272727</v>
      </c>
      <c r="F14" s="10" t="n">
        <f aca="false">COUNTIFS('전체 지문'!$B:$B,$A14,'전체 지문'!$C:$C,$B14,'전체 지문'!$P:$P,"사용")</f>
        <v>11</v>
      </c>
      <c r="G14" s="10" t="n">
        <f aca="false">COUNTIFS('전체 지문'!$B:$B,$A14,'전체 지문'!$C:$C,$B14,'전체 지문'!$P:$P,"빼기")</f>
        <v>0</v>
      </c>
      <c r="H14" s="10" t="n">
        <f aca="false">COUNTIFS('전체 지문'!$B:$B,$A14,'전체 지문'!$C:$C,$B14,'전체 지문'!$P:$P,"고쳐서 사용")</f>
        <v>0</v>
      </c>
    </row>
    <row r="15" customFormat="false" ht="15" hidden="false" customHeight="false" outlineLevel="0" collapsed="false">
      <c r="A15" s="10" t="s">
        <v>33</v>
      </c>
      <c r="B15" s="10" t="n">
        <v>4</v>
      </c>
      <c r="C15" s="10" t="n">
        <v>196</v>
      </c>
      <c r="D15" s="10" t="n">
        <f aca="false">COUNTIFS('전체 지문'!$B:$B,$A15,'전체 지문'!$C:$C,$B15)</f>
        <v>10</v>
      </c>
      <c r="E15" s="11" t="n">
        <f aca="false">IFERROR(AVERAGEIFS('전체 지문'!$K:$K,'전체 지문'!$B:$B,$A15,'전체 지문'!$C:$C,$B15),0)</f>
        <v>23.2</v>
      </c>
      <c r="F15" s="10" t="n">
        <f aca="false">COUNTIFS('전체 지문'!$B:$B,$A15,'전체 지문'!$C:$C,$B15,'전체 지문'!$P:$P,"사용")</f>
        <v>10</v>
      </c>
      <c r="G15" s="10" t="n">
        <f aca="false">COUNTIFS('전체 지문'!$B:$B,$A15,'전체 지문'!$C:$C,$B15,'전체 지문'!$P:$P,"빼기")</f>
        <v>0</v>
      </c>
      <c r="H15" s="10" t="n">
        <f aca="false">COUNTIFS('전체 지문'!$B:$B,$A15,'전체 지문'!$C:$C,$B15,'전체 지문'!$P:$P,"고쳐서 사용")</f>
        <v>0</v>
      </c>
    </row>
    <row r="16" customFormat="false" ht="15" hidden="false" customHeight="false" outlineLevel="0" collapsed="false">
      <c r="A16" s="10" t="s">
        <v>33</v>
      </c>
      <c r="B16" s="10" t="n">
        <v>5</v>
      </c>
      <c r="C16" s="10" t="n">
        <v>210</v>
      </c>
      <c r="D16" s="10" t="n">
        <f aca="false">COUNTIFS('전체 지문'!$B:$B,$A16,'전체 지문'!$C:$C,$B16)</f>
        <v>10</v>
      </c>
      <c r="E16" s="11" t="n">
        <f aca="false">IFERROR(AVERAGEIFS('전체 지문'!$K:$K,'전체 지문'!$B:$B,$A16,'전체 지문'!$C:$C,$B16),0)</f>
        <v>24</v>
      </c>
      <c r="F16" s="10" t="n">
        <f aca="false">COUNTIFS('전체 지문'!$B:$B,$A16,'전체 지문'!$C:$C,$B16,'전체 지문'!$P:$P,"사용")</f>
        <v>10</v>
      </c>
      <c r="G16" s="10" t="n">
        <f aca="false">COUNTIFS('전체 지문'!$B:$B,$A16,'전체 지문'!$C:$C,$B16,'전체 지문'!$P:$P,"빼기")</f>
        <v>0</v>
      </c>
      <c r="H16" s="10" t="n">
        <f aca="false">COUNTIFS('전체 지문'!$B:$B,$A16,'전체 지문'!$C:$C,$B16,'전체 지문'!$P:$P,"고쳐서 사용")</f>
        <v>0</v>
      </c>
    </row>
    <row r="17" customFormat="false" ht="15" hidden="false" customHeight="false" outlineLevel="0" collapsed="false">
      <c r="A17" s="12" t="s">
        <v>34</v>
      </c>
      <c r="B17" s="12" t="n">
        <v>1</v>
      </c>
      <c r="C17" s="12" t="n">
        <v>225</v>
      </c>
      <c r="D17" s="12" t="n">
        <f aca="false">COUNTIFS('전체 지문'!$B:$B,$A17,'전체 지문'!$C:$C,$B17)</f>
        <v>10</v>
      </c>
      <c r="E17" s="13" t="n">
        <f aca="false">IFERROR(AVERAGEIFS('전체 지문'!$K:$K,'전체 지문'!$B:$B,$A17,'전체 지문'!$C:$C,$B17),0)</f>
        <v>24</v>
      </c>
      <c r="F17" s="12" t="n">
        <f aca="false">COUNTIFS('전체 지문'!$B:$B,$A17,'전체 지문'!$C:$C,$B17,'전체 지문'!$P:$P,"사용")</f>
        <v>10</v>
      </c>
      <c r="G17" s="12" t="n">
        <f aca="false">COUNTIFS('전체 지문'!$B:$B,$A17,'전체 지문'!$C:$C,$B17,'전체 지문'!$P:$P,"빼기")</f>
        <v>0</v>
      </c>
      <c r="H17" s="12" t="n">
        <f aca="false">COUNTIFS('전체 지문'!$B:$B,$A17,'전체 지문'!$C:$C,$B17,'전체 지문'!$P:$P,"고쳐서 사용")</f>
        <v>0</v>
      </c>
    </row>
    <row r="18" customFormat="false" ht="15" hidden="false" customHeight="false" outlineLevel="0" collapsed="false">
      <c r="A18" s="12" t="s">
        <v>34</v>
      </c>
      <c r="B18" s="12" t="n">
        <v>2</v>
      </c>
      <c r="C18" s="12" t="n">
        <v>239</v>
      </c>
      <c r="D18" s="12" t="n">
        <f aca="false">COUNTIFS('전체 지문'!$B:$B,$A18,'전체 지문'!$C:$C,$B18)</f>
        <v>10</v>
      </c>
      <c r="E18" s="13" t="n">
        <f aca="false">IFERROR(AVERAGEIFS('전체 지문'!$K:$K,'전체 지문'!$B:$B,$A18,'전체 지문'!$C:$C,$B18),0)</f>
        <v>26.5</v>
      </c>
      <c r="F18" s="12" t="n">
        <f aca="false">COUNTIFS('전체 지문'!$B:$B,$A18,'전체 지문'!$C:$C,$B18,'전체 지문'!$P:$P,"사용")</f>
        <v>10</v>
      </c>
      <c r="G18" s="12" t="n">
        <f aca="false">COUNTIFS('전체 지문'!$B:$B,$A18,'전체 지문'!$C:$C,$B18,'전체 지문'!$P:$P,"빼기")</f>
        <v>0</v>
      </c>
      <c r="H18" s="12" t="n">
        <f aca="false">COUNTIFS('전체 지문'!$B:$B,$A18,'전체 지문'!$C:$C,$B18,'전체 지문'!$P:$P,"고쳐서 사용")</f>
        <v>0</v>
      </c>
    </row>
    <row r="19" customFormat="false" ht="15" hidden="false" customHeight="false" outlineLevel="0" collapsed="false">
      <c r="A19" s="12" t="s">
        <v>34</v>
      </c>
      <c r="B19" s="12" t="n">
        <v>3</v>
      </c>
      <c r="C19" s="12" t="n">
        <v>252</v>
      </c>
      <c r="D19" s="12" t="n">
        <f aca="false">COUNTIFS('전체 지문'!$B:$B,$A19,'전체 지문'!$C:$C,$B19)</f>
        <v>10</v>
      </c>
      <c r="E19" s="13" t="n">
        <f aca="false">IFERROR(AVERAGEIFS('전체 지문'!$K:$K,'전체 지문'!$B:$B,$A19,'전체 지문'!$C:$C,$B19),0)</f>
        <v>31.1</v>
      </c>
      <c r="F19" s="12" t="n">
        <f aca="false">COUNTIFS('전체 지문'!$B:$B,$A19,'전체 지문'!$C:$C,$B19,'전체 지문'!$P:$P,"사용")</f>
        <v>10</v>
      </c>
      <c r="G19" s="12" t="n">
        <f aca="false">COUNTIFS('전체 지문'!$B:$B,$A19,'전체 지문'!$C:$C,$B19,'전체 지문'!$P:$P,"빼기")</f>
        <v>0</v>
      </c>
      <c r="H19" s="12" t="n">
        <f aca="false">COUNTIFS('전체 지문'!$B:$B,$A19,'전체 지문'!$C:$C,$B19,'전체 지문'!$P:$P,"고쳐서 사용")</f>
        <v>0</v>
      </c>
    </row>
    <row r="20" customFormat="false" ht="15" hidden="false" customHeight="false" outlineLevel="0" collapsed="false">
      <c r="A20" s="12" t="s">
        <v>34</v>
      </c>
      <c r="B20" s="12" t="n">
        <v>4</v>
      </c>
      <c r="C20" s="12" t="n">
        <v>266</v>
      </c>
      <c r="D20" s="12" t="n">
        <f aca="false">COUNTIFS('전체 지문'!$B:$B,$A20,'전체 지문'!$C:$C,$B20)</f>
        <v>10</v>
      </c>
      <c r="E20" s="13" t="n">
        <f aca="false">IFERROR(AVERAGEIFS('전체 지문'!$K:$K,'전체 지문'!$B:$B,$A20,'전체 지문'!$C:$C,$B20),0)</f>
        <v>33.9</v>
      </c>
      <c r="F20" s="12" t="n">
        <f aca="false">COUNTIFS('전체 지문'!$B:$B,$A20,'전체 지문'!$C:$C,$B20,'전체 지문'!$P:$P,"사용")</f>
        <v>10</v>
      </c>
      <c r="G20" s="12" t="n">
        <f aca="false">COUNTIFS('전체 지문'!$B:$B,$A20,'전체 지문'!$C:$C,$B20,'전체 지문'!$P:$P,"빼기")</f>
        <v>0</v>
      </c>
      <c r="H20" s="12" t="n">
        <f aca="false">COUNTIFS('전체 지문'!$B:$B,$A20,'전체 지문'!$C:$C,$B20,'전체 지문'!$P:$P,"고쳐서 사용")</f>
        <v>0</v>
      </c>
    </row>
    <row r="21" customFormat="false" ht="15" hidden="false" customHeight="false" outlineLevel="0" collapsed="false">
      <c r="A21" s="12" t="s">
        <v>34</v>
      </c>
      <c r="B21" s="12" t="n">
        <v>5</v>
      </c>
      <c r="C21" s="12" t="n">
        <v>280</v>
      </c>
      <c r="D21" s="12" t="n">
        <f aca="false">COUNTIFS('전체 지문'!$B:$B,$A21,'전체 지문'!$C:$C,$B21)</f>
        <v>10</v>
      </c>
      <c r="E21" s="13" t="n">
        <f aca="false">IFERROR(AVERAGEIFS('전체 지문'!$K:$K,'전체 지문'!$B:$B,$A21,'전체 지문'!$C:$C,$B21),0)</f>
        <v>41.7</v>
      </c>
      <c r="F21" s="12" t="n">
        <f aca="false">COUNTIFS('전체 지문'!$B:$B,$A21,'전체 지문'!$C:$C,$B21,'전체 지문'!$P:$P,"사용")</f>
        <v>10</v>
      </c>
      <c r="G21" s="12" t="n">
        <f aca="false">COUNTIFS('전체 지문'!$B:$B,$A21,'전체 지문'!$C:$C,$B21,'전체 지문'!$P:$P,"빼기")</f>
        <v>0</v>
      </c>
      <c r="H21" s="12" t="n">
        <f aca="false">COUNTIFS('전체 지문'!$B:$B,$A21,'전체 지문'!$C:$C,$B21,'전체 지문'!$P:$P,"고쳐서 사용")</f>
        <v>0</v>
      </c>
    </row>
    <row r="22" customFormat="false" ht="15" hidden="false" customHeight="false" outlineLevel="0" collapsed="false">
      <c r="A22" s="14" t="s">
        <v>35</v>
      </c>
      <c r="B22" s="14" t="n">
        <v>1</v>
      </c>
      <c r="C22" s="14" t="n">
        <v>295</v>
      </c>
      <c r="D22" s="14" t="n">
        <f aca="false">COUNTIFS('전체 지문'!$B:$B,$A22,'전체 지문'!$C:$C,$B22)</f>
        <v>8</v>
      </c>
      <c r="E22" s="15" t="n">
        <f aca="false">IFERROR(AVERAGEIFS('전체 지문'!$K:$K,'전체 지문'!$B:$B,$A22,'전체 지문'!$C:$C,$B22),0)</f>
        <v>39.625</v>
      </c>
      <c r="F22" s="14" t="n">
        <f aca="false">COUNTIFS('전체 지문'!$B:$B,$A22,'전체 지문'!$C:$C,$B22,'전체 지문'!$P:$P,"사용")</f>
        <v>8</v>
      </c>
      <c r="G22" s="14" t="n">
        <f aca="false">COUNTIFS('전체 지문'!$B:$B,$A22,'전체 지문'!$C:$C,$B22,'전체 지문'!$P:$P,"빼기")</f>
        <v>0</v>
      </c>
      <c r="H22" s="14" t="n">
        <f aca="false">COUNTIFS('전체 지문'!$B:$B,$A22,'전체 지문'!$C:$C,$B22,'전체 지문'!$P:$P,"고쳐서 사용")</f>
        <v>0</v>
      </c>
    </row>
    <row r="23" customFormat="false" ht="15" hidden="false" customHeight="false" outlineLevel="0" collapsed="false">
      <c r="A23" s="14" t="s">
        <v>35</v>
      </c>
      <c r="B23" s="14" t="n">
        <v>2</v>
      </c>
      <c r="C23" s="14" t="n">
        <v>306</v>
      </c>
      <c r="D23" s="14" t="n">
        <f aca="false">COUNTIFS('전체 지문'!$B:$B,$A23,'전체 지문'!$C:$C,$B23)</f>
        <v>7</v>
      </c>
      <c r="E23" s="15" t="n">
        <f aca="false">IFERROR(AVERAGEIFS('전체 지문'!$K:$K,'전체 지문'!$B:$B,$A23,'전체 지문'!$C:$C,$B23),0)</f>
        <v>46.8571428571429</v>
      </c>
      <c r="F23" s="14" t="n">
        <f aca="false">COUNTIFS('전체 지문'!$B:$B,$A23,'전체 지문'!$C:$C,$B23,'전체 지문'!$P:$P,"사용")</f>
        <v>7</v>
      </c>
      <c r="G23" s="14" t="n">
        <f aca="false">COUNTIFS('전체 지문'!$B:$B,$A23,'전체 지문'!$C:$C,$B23,'전체 지문'!$P:$P,"빼기")</f>
        <v>0</v>
      </c>
      <c r="H23" s="14" t="n">
        <f aca="false">COUNTIFS('전체 지문'!$B:$B,$A23,'전체 지문'!$C:$C,$B23,'전체 지문'!$P:$P,"고쳐서 사용")</f>
        <v>0</v>
      </c>
    </row>
    <row r="24" customFormat="false" ht="15" hidden="false" customHeight="false" outlineLevel="0" collapsed="false">
      <c r="A24" s="14" t="s">
        <v>35</v>
      </c>
      <c r="B24" s="14" t="n">
        <v>3</v>
      </c>
      <c r="C24" s="14" t="n">
        <v>318</v>
      </c>
      <c r="D24" s="14" t="n">
        <f aca="false">COUNTIFS('전체 지문'!$B:$B,$A24,'전체 지문'!$C:$C,$B24)</f>
        <v>8</v>
      </c>
      <c r="E24" s="15" t="n">
        <f aca="false">IFERROR(AVERAGEIFS('전체 지문'!$K:$K,'전체 지문'!$B:$B,$A24,'전체 지문'!$C:$C,$B24),0)</f>
        <v>52.375</v>
      </c>
      <c r="F24" s="14" t="n">
        <f aca="false">COUNTIFS('전체 지문'!$B:$B,$A24,'전체 지문'!$C:$C,$B24,'전체 지문'!$P:$P,"사용")</f>
        <v>8</v>
      </c>
      <c r="G24" s="14" t="n">
        <f aca="false">COUNTIFS('전체 지문'!$B:$B,$A24,'전체 지문'!$C:$C,$B24,'전체 지문'!$P:$P,"빼기")</f>
        <v>0</v>
      </c>
      <c r="H24" s="14" t="n">
        <f aca="false">COUNTIFS('전체 지문'!$B:$B,$A24,'전체 지문'!$C:$C,$B24,'전체 지문'!$P:$P,"고쳐서 사용")</f>
        <v>0</v>
      </c>
    </row>
    <row r="25" customFormat="false" ht="15" hidden="false" customHeight="false" outlineLevel="0" collapsed="false">
      <c r="A25" s="14" t="s">
        <v>35</v>
      </c>
      <c r="B25" s="14" t="n">
        <v>4</v>
      </c>
      <c r="C25" s="14" t="n">
        <v>329</v>
      </c>
      <c r="D25" s="14" t="n">
        <f aca="false">COUNTIFS('전체 지문'!$B:$B,$A25,'전체 지문'!$C:$C,$B25)</f>
        <v>7</v>
      </c>
      <c r="E25" s="15" t="n">
        <f aca="false">IFERROR(AVERAGEIFS('전체 지문'!$K:$K,'전체 지문'!$B:$B,$A25,'전체 지문'!$C:$C,$B25),0)</f>
        <v>63.5714285714286</v>
      </c>
      <c r="F25" s="14" t="n">
        <f aca="false">COUNTIFS('전체 지문'!$B:$B,$A25,'전체 지문'!$C:$C,$B25,'전체 지문'!$P:$P,"사용")</f>
        <v>7</v>
      </c>
      <c r="G25" s="14" t="n">
        <f aca="false">COUNTIFS('전체 지문'!$B:$B,$A25,'전체 지문'!$C:$C,$B25,'전체 지문'!$P:$P,"빼기")</f>
        <v>0</v>
      </c>
      <c r="H25" s="14" t="n">
        <f aca="false">COUNTIFS('전체 지문'!$B:$B,$A25,'전체 지문'!$C:$C,$B25,'전체 지문'!$P:$P,"고쳐서 사용")</f>
        <v>0</v>
      </c>
    </row>
    <row r="26" customFormat="false" ht="15" hidden="false" customHeight="false" outlineLevel="0" collapsed="false">
      <c r="A26" s="14" t="s">
        <v>35</v>
      </c>
      <c r="B26" s="14" t="n">
        <v>5</v>
      </c>
      <c r="C26" s="14" t="n">
        <v>340</v>
      </c>
      <c r="D26" s="14" t="n">
        <f aca="false">COUNTIFS('전체 지문'!$B:$B,$A26,'전체 지문'!$C:$C,$B26)</f>
        <v>8</v>
      </c>
      <c r="E26" s="15" t="n">
        <f aca="false">IFERROR(AVERAGEIFS('전체 지문'!$K:$K,'전체 지문'!$B:$B,$A26,'전체 지문'!$C:$C,$B26),0)</f>
        <v>73.75</v>
      </c>
      <c r="F26" s="14" t="n">
        <f aca="false">COUNTIFS('전체 지문'!$B:$B,$A26,'전체 지문'!$C:$C,$B26,'전체 지문'!$P:$P,"사용")</f>
        <v>8</v>
      </c>
      <c r="G26" s="14" t="n">
        <f aca="false">COUNTIFS('전체 지문'!$B:$B,$A26,'전체 지문'!$C:$C,$B26,'전체 지문'!$P:$P,"빼기")</f>
        <v>0</v>
      </c>
      <c r="H26" s="14" t="n">
        <f aca="false">COUNTIFS('전체 지문'!$B:$B,$A26,'전체 지문'!$C:$C,$B26,'전체 지문'!$P:$P,"고쳐서 사용")</f>
        <v>0</v>
      </c>
    </row>
    <row r="27" customFormat="false" ht="15" hidden="false" customHeight="false" outlineLevel="0" collapsed="false">
      <c r="A27" s="16" t="s">
        <v>36</v>
      </c>
      <c r="B27" s="16" t="n">
        <v>1</v>
      </c>
      <c r="C27" s="16" t="n">
        <v>355</v>
      </c>
      <c r="D27" s="16" t="n">
        <f aca="false">COUNTIFS('전체 지문'!$B:$B,$A27,'전체 지문'!$C:$C,$B27)</f>
        <v>6</v>
      </c>
      <c r="E27" s="17" t="n">
        <f aca="false">IFERROR(AVERAGEIFS('전체 지문'!$K:$K,'전체 지문'!$B:$B,$A27,'전체 지문'!$C:$C,$B27),0)</f>
        <v>85.1666666666667</v>
      </c>
      <c r="F27" s="16" t="n">
        <f aca="false">COUNTIFS('전체 지문'!$B:$B,$A27,'전체 지문'!$C:$C,$B27,'전체 지문'!$P:$P,"사용")</f>
        <v>6</v>
      </c>
      <c r="G27" s="16" t="n">
        <f aca="false">COUNTIFS('전체 지문'!$B:$B,$A27,'전체 지문'!$C:$C,$B27,'전체 지문'!$P:$P,"빼기")</f>
        <v>0</v>
      </c>
      <c r="H27" s="16" t="n">
        <f aca="false">COUNTIFS('전체 지문'!$B:$B,$A27,'전체 지문'!$C:$C,$B27,'전체 지문'!$P:$P,"고쳐서 사용")</f>
        <v>0</v>
      </c>
    </row>
    <row r="28" customFormat="false" ht="15" hidden="false" customHeight="false" outlineLevel="0" collapsed="false">
      <c r="A28" s="16" t="s">
        <v>36</v>
      </c>
      <c r="B28" s="16" t="n">
        <v>2</v>
      </c>
      <c r="C28" s="16" t="n">
        <v>366</v>
      </c>
      <c r="D28" s="16" t="n">
        <f aca="false">COUNTIFS('전체 지문'!$B:$B,$A28,'전체 지문'!$C:$C,$B28)</f>
        <v>6</v>
      </c>
      <c r="E28" s="17" t="n">
        <f aca="false">IFERROR(AVERAGEIFS('전체 지문'!$K:$K,'전체 지문'!$B:$B,$A28,'전체 지문'!$C:$C,$B28),0)</f>
        <v>91.3333333333333</v>
      </c>
      <c r="F28" s="16" t="n">
        <f aca="false">COUNTIFS('전체 지문'!$B:$B,$A28,'전체 지문'!$C:$C,$B28,'전체 지문'!$P:$P,"사용")</f>
        <v>6</v>
      </c>
      <c r="G28" s="16" t="n">
        <f aca="false">COUNTIFS('전체 지문'!$B:$B,$A28,'전체 지문'!$C:$C,$B28,'전체 지문'!$P:$P,"빼기")</f>
        <v>0</v>
      </c>
      <c r="H28" s="16" t="n">
        <f aca="false">COUNTIFS('전체 지문'!$B:$B,$A28,'전체 지문'!$C:$C,$B28,'전체 지문'!$P:$P,"고쳐서 사용")</f>
        <v>0</v>
      </c>
    </row>
    <row r="29" customFormat="false" ht="15" hidden="false" customHeight="false" outlineLevel="0" collapsed="false">
      <c r="A29" s="16" t="s">
        <v>36</v>
      </c>
      <c r="B29" s="16" t="n">
        <v>3</v>
      </c>
      <c r="C29" s="16" t="n">
        <v>378</v>
      </c>
      <c r="D29" s="16" t="n">
        <f aca="false">COUNTIFS('전체 지문'!$B:$B,$A29,'전체 지문'!$C:$C,$B29)</f>
        <v>6</v>
      </c>
      <c r="E29" s="17" t="n">
        <f aca="false">IFERROR(AVERAGEIFS('전체 지문'!$K:$K,'전체 지문'!$B:$B,$A29,'전체 지문'!$C:$C,$B29),0)</f>
        <v>96.6666666666667</v>
      </c>
      <c r="F29" s="16" t="n">
        <f aca="false">COUNTIFS('전체 지문'!$B:$B,$A29,'전체 지문'!$C:$C,$B29,'전체 지문'!$P:$P,"사용")</f>
        <v>6</v>
      </c>
      <c r="G29" s="16" t="n">
        <f aca="false">COUNTIFS('전체 지문'!$B:$B,$A29,'전체 지문'!$C:$C,$B29,'전체 지문'!$P:$P,"빼기")</f>
        <v>0</v>
      </c>
      <c r="H29" s="16" t="n">
        <f aca="false">COUNTIFS('전체 지문'!$B:$B,$A29,'전체 지문'!$C:$C,$B29,'전체 지문'!$P:$P,"고쳐서 사용")</f>
        <v>0</v>
      </c>
    </row>
    <row r="30" customFormat="false" ht="15" hidden="false" customHeight="false" outlineLevel="0" collapsed="false">
      <c r="A30" s="16" t="s">
        <v>36</v>
      </c>
      <c r="B30" s="16" t="n">
        <v>4</v>
      </c>
      <c r="C30" s="16" t="n">
        <v>389</v>
      </c>
      <c r="D30" s="16" t="n">
        <f aca="false">COUNTIFS('전체 지문'!$B:$B,$A30,'전체 지문'!$C:$C,$B30)</f>
        <v>6</v>
      </c>
      <c r="E30" s="17" t="n">
        <f aca="false">IFERROR(AVERAGEIFS('전체 지문'!$K:$K,'전체 지문'!$B:$B,$A30,'전체 지문'!$C:$C,$B30),0)</f>
        <v>102.333333333333</v>
      </c>
      <c r="F30" s="16" t="n">
        <f aca="false">COUNTIFS('전체 지문'!$B:$B,$A30,'전체 지문'!$C:$C,$B30,'전체 지문'!$P:$P,"사용")</f>
        <v>6</v>
      </c>
      <c r="G30" s="16" t="n">
        <f aca="false">COUNTIFS('전체 지문'!$B:$B,$A30,'전체 지문'!$C:$C,$B30,'전체 지문'!$P:$P,"빼기")</f>
        <v>0</v>
      </c>
      <c r="H30" s="16" t="n">
        <f aca="false">COUNTIFS('전체 지문'!$B:$B,$A30,'전체 지문'!$C:$C,$B30,'전체 지문'!$P:$P,"고쳐서 사용")</f>
        <v>0</v>
      </c>
    </row>
    <row r="31" customFormat="false" ht="15" hidden="false" customHeight="false" outlineLevel="0" collapsed="false">
      <c r="A31" s="16" t="s">
        <v>36</v>
      </c>
      <c r="B31" s="16" t="n">
        <v>5</v>
      </c>
      <c r="C31" s="16" t="n">
        <v>400</v>
      </c>
      <c r="D31" s="16" t="n">
        <f aca="false">COUNTIFS('전체 지문'!$B:$B,$A31,'전체 지문'!$C:$C,$B31)</f>
        <v>6</v>
      </c>
      <c r="E31" s="17" t="n">
        <f aca="false">IFERROR(AVERAGEIFS('전체 지문'!$K:$K,'전체 지문'!$B:$B,$A31,'전체 지문'!$C:$C,$B31),0)</f>
        <v>113.833333333333</v>
      </c>
      <c r="F31" s="16" t="n">
        <f aca="false">COUNTIFS('전체 지문'!$B:$B,$A31,'전체 지문'!$C:$C,$B31,'전체 지문'!$P:$P,"사용")</f>
        <v>6</v>
      </c>
      <c r="G31" s="16" t="n">
        <f aca="false">COUNTIFS('전체 지문'!$B:$B,$A31,'전체 지문'!$C:$C,$B31,'전체 지문'!$P:$P,"빼기")</f>
        <v>0</v>
      </c>
      <c r="H31" s="16" t="n">
        <f aca="false">COUNTIFS('전체 지문'!$B:$B,$A31,'전체 지문'!$C:$C,$B31,'전체 지문'!$P:$P,"고쳐서 사용")</f>
        <v>0</v>
      </c>
    </row>
    <row r="32" customFormat="false" ht="15" hidden="false" customHeight="false" outlineLevel="0" collapsed="false">
      <c r="A32" s="18" t="s">
        <v>37</v>
      </c>
      <c r="B32" s="18"/>
      <c r="C32" s="18"/>
      <c r="D32" s="18" t="n">
        <f aca="false">SUM(D2:D31)</f>
        <v>369</v>
      </c>
      <c r="E32" s="19" t="n">
        <f aca="false">IFERROR(AVERAGE(E2:E31),0)</f>
        <v>40.4035281385281</v>
      </c>
      <c r="F32" s="18" t="n">
        <f aca="false">SUM(F2:F31)</f>
        <v>369</v>
      </c>
      <c r="G32" s="18" t="n">
        <f aca="false">SUM(G2:G31)</f>
        <v>0</v>
      </c>
      <c r="H32" s="18" t="n">
        <f aca="false">SUM(H2:H31)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22"/>
    <col collapsed="false" customWidth="true" hidden="false" outlineLevel="0" max="13" min="13" style="0" width="8"/>
    <col collapsed="false" customWidth="true" hidden="false" outlineLevel="0" max="14" min="14" style="0" width="22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30"/>
  </cols>
  <sheetData>
    <row r="1" customFormat="false" ht="32.8" hidden="false" customHeight="false" outlineLevel="0" collapsed="false">
      <c r="A1" s="20" t="s">
        <v>5</v>
      </c>
      <c r="B1" s="21" t="s">
        <v>23</v>
      </c>
      <c r="C1" s="21" t="s">
        <v>24</v>
      </c>
      <c r="D1" s="21" t="s">
        <v>25</v>
      </c>
      <c r="E1" s="21" t="s">
        <v>38</v>
      </c>
      <c r="F1" s="21" t="s">
        <v>39</v>
      </c>
      <c r="G1" s="21" t="s">
        <v>40</v>
      </c>
      <c r="H1" s="21" t="s">
        <v>41</v>
      </c>
      <c r="I1" s="21" t="s">
        <v>42</v>
      </c>
      <c r="J1" s="21" t="s">
        <v>11</v>
      </c>
      <c r="K1" s="21" t="s">
        <v>43</v>
      </c>
      <c r="L1" s="21" t="s">
        <v>44</v>
      </c>
      <c r="M1" s="21" t="s">
        <v>45</v>
      </c>
      <c r="N1" s="21" t="s">
        <v>17</v>
      </c>
      <c r="O1" s="21" t="s">
        <v>19</v>
      </c>
      <c r="P1" s="21" t="s">
        <v>46</v>
      </c>
      <c r="Q1" s="21" t="s">
        <v>47</v>
      </c>
    </row>
    <row r="2" customFormat="false" ht="15" hidden="false" customHeight="false" outlineLevel="0" collapsed="false">
      <c r="A2" s="22" t="s">
        <v>48</v>
      </c>
      <c r="B2" s="23" t="s">
        <v>31</v>
      </c>
      <c r="C2" s="23" t="n">
        <v>1</v>
      </c>
      <c r="D2" s="23" t="n">
        <v>40</v>
      </c>
      <c r="E2" s="23" t="n">
        <v>85</v>
      </c>
      <c r="F2" s="23" t="s">
        <v>49</v>
      </c>
      <c r="G2" s="23"/>
      <c r="H2" s="24" t="s">
        <v>50</v>
      </c>
      <c r="I2" s="23" t="n">
        <v>14</v>
      </c>
      <c r="J2" s="23" t="n">
        <v>24</v>
      </c>
      <c r="K2" s="23" t="n">
        <v>36</v>
      </c>
      <c r="L2" s="23"/>
      <c r="M2" s="23"/>
      <c r="N2" s="24"/>
      <c r="O2" s="25"/>
      <c r="P2" s="26" t="s">
        <v>28</v>
      </c>
      <c r="Q2" s="27"/>
    </row>
    <row r="3" customFormat="false" ht="15" hidden="false" customHeight="false" outlineLevel="0" collapsed="false">
      <c r="A3" s="22" t="s">
        <v>51</v>
      </c>
      <c r="B3" s="23" t="s">
        <v>31</v>
      </c>
      <c r="C3" s="23" t="n">
        <v>1</v>
      </c>
      <c r="D3" s="23" t="n">
        <v>40</v>
      </c>
      <c r="E3" s="23" t="n">
        <v>85</v>
      </c>
      <c r="F3" s="23" t="s">
        <v>49</v>
      </c>
      <c r="G3" s="23"/>
      <c r="H3" s="24" t="s">
        <v>52</v>
      </c>
      <c r="I3" s="23" t="n">
        <v>16</v>
      </c>
      <c r="J3" s="23" t="n">
        <v>29</v>
      </c>
      <c r="K3" s="23" t="n">
        <v>44</v>
      </c>
      <c r="L3" s="23"/>
      <c r="M3" s="23"/>
      <c r="N3" s="24"/>
      <c r="O3" s="25"/>
      <c r="P3" s="26" t="s">
        <v>28</v>
      </c>
      <c r="Q3" s="27"/>
    </row>
    <row r="4" customFormat="false" ht="15" hidden="false" customHeight="false" outlineLevel="0" collapsed="false">
      <c r="A4" s="22" t="s">
        <v>53</v>
      </c>
      <c r="B4" s="23" t="s">
        <v>31</v>
      </c>
      <c r="C4" s="23" t="n">
        <v>1</v>
      </c>
      <c r="D4" s="23" t="n">
        <v>40</v>
      </c>
      <c r="E4" s="23" t="n">
        <v>85</v>
      </c>
      <c r="F4" s="23" t="s">
        <v>49</v>
      </c>
      <c r="G4" s="23"/>
      <c r="H4" s="24" t="s">
        <v>54</v>
      </c>
      <c r="I4" s="23" t="n">
        <v>15</v>
      </c>
      <c r="J4" s="23" t="n">
        <v>30</v>
      </c>
      <c r="K4" s="23" t="n">
        <v>45</v>
      </c>
      <c r="L4" s="23"/>
      <c r="M4" s="23"/>
      <c r="N4" s="24"/>
      <c r="O4" s="25"/>
      <c r="P4" s="26" t="s">
        <v>28</v>
      </c>
      <c r="Q4" s="27"/>
    </row>
    <row r="5" customFormat="false" ht="15" hidden="false" customHeight="false" outlineLevel="0" collapsed="false">
      <c r="A5" s="22" t="s">
        <v>55</v>
      </c>
      <c r="B5" s="23" t="s">
        <v>31</v>
      </c>
      <c r="C5" s="23" t="n">
        <v>1</v>
      </c>
      <c r="D5" s="23" t="n">
        <v>40</v>
      </c>
      <c r="E5" s="23" t="n">
        <v>85</v>
      </c>
      <c r="F5" s="23" t="s">
        <v>49</v>
      </c>
      <c r="G5" s="23"/>
      <c r="H5" s="24" t="s">
        <v>56</v>
      </c>
      <c r="I5" s="23" t="n">
        <v>16</v>
      </c>
      <c r="J5" s="23" t="n">
        <v>33</v>
      </c>
      <c r="K5" s="23" t="n">
        <v>50</v>
      </c>
      <c r="L5" s="23"/>
      <c r="M5" s="23"/>
      <c r="N5" s="24"/>
      <c r="O5" s="25"/>
      <c r="P5" s="26" t="s">
        <v>28</v>
      </c>
      <c r="Q5" s="27"/>
    </row>
    <row r="6" customFormat="false" ht="15" hidden="false" customHeight="false" outlineLevel="0" collapsed="false">
      <c r="A6" s="22" t="s">
        <v>57</v>
      </c>
      <c r="B6" s="23" t="s">
        <v>31</v>
      </c>
      <c r="C6" s="23" t="n">
        <v>1</v>
      </c>
      <c r="D6" s="23" t="n">
        <v>40</v>
      </c>
      <c r="E6" s="23" t="n">
        <v>85</v>
      </c>
      <c r="F6" s="23" t="s">
        <v>49</v>
      </c>
      <c r="G6" s="23"/>
      <c r="H6" s="24" t="s">
        <v>58</v>
      </c>
      <c r="I6" s="23" t="n">
        <v>13</v>
      </c>
      <c r="J6" s="23" t="n">
        <v>27</v>
      </c>
      <c r="K6" s="23" t="n">
        <v>40</v>
      </c>
      <c r="L6" s="23"/>
      <c r="M6" s="23"/>
      <c r="N6" s="24"/>
      <c r="O6" s="25"/>
      <c r="P6" s="26" t="s">
        <v>28</v>
      </c>
      <c r="Q6" s="27"/>
    </row>
    <row r="7" customFormat="false" ht="15" hidden="false" customHeight="false" outlineLevel="0" collapsed="false">
      <c r="A7" s="22" t="s">
        <v>59</v>
      </c>
      <c r="B7" s="23" t="s">
        <v>31</v>
      </c>
      <c r="C7" s="23" t="n">
        <v>1</v>
      </c>
      <c r="D7" s="23" t="n">
        <v>40</v>
      </c>
      <c r="E7" s="23" t="n">
        <v>85</v>
      </c>
      <c r="F7" s="23" t="s">
        <v>49</v>
      </c>
      <c r="G7" s="23"/>
      <c r="H7" s="24" t="s">
        <v>60</v>
      </c>
      <c r="I7" s="23" t="n">
        <v>13</v>
      </c>
      <c r="J7" s="23" t="n">
        <v>28</v>
      </c>
      <c r="K7" s="23" t="n">
        <v>42</v>
      </c>
      <c r="L7" s="23"/>
      <c r="M7" s="23"/>
      <c r="N7" s="24"/>
      <c r="O7" s="25"/>
      <c r="P7" s="26" t="s">
        <v>28</v>
      </c>
      <c r="Q7" s="27"/>
    </row>
    <row r="8" customFormat="false" ht="15" hidden="false" customHeight="false" outlineLevel="0" collapsed="false">
      <c r="A8" s="22" t="s">
        <v>61</v>
      </c>
      <c r="B8" s="23" t="s">
        <v>31</v>
      </c>
      <c r="C8" s="23" t="n">
        <v>1</v>
      </c>
      <c r="D8" s="23" t="n">
        <v>40</v>
      </c>
      <c r="E8" s="23" t="n">
        <v>85</v>
      </c>
      <c r="F8" s="23" t="s">
        <v>49</v>
      </c>
      <c r="G8" s="23"/>
      <c r="H8" s="24" t="s">
        <v>62</v>
      </c>
      <c r="I8" s="23" t="n">
        <v>11</v>
      </c>
      <c r="J8" s="23" t="n">
        <v>21</v>
      </c>
      <c r="K8" s="23" t="n">
        <v>32</v>
      </c>
      <c r="L8" s="23"/>
      <c r="M8" s="23"/>
      <c r="N8" s="24"/>
      <c r="O8" s="25"/>
      <c r="P8" s="26" t="s">
        <v>28</v>
      </c>
      <c r="Q8" s="27"/>
    </row>
    <row r="9" customFormat="false" ht="15" hidden="false" customHeight="false" outlineLevel="0" collapsed="false">
      <c r="A9" s="22" t="s">
        <v>63</v>
      </c>
      <c r="B9" s="23" t="s">
        <v>31</v>
      </c>
      <c r="C9" s="23" t="n">
        <v>1</v>
      </c>
      <c r="D9" s="23" t="n">
        <v>40</v>
      </c>
      <c r="E9" s="23" t="n">
        <v>85</v>
      </c>
      <c r="F9" s="23" t="s">
        <v>49</v>
      </c>
      <c r="G9" s="23"/>
      <c r="H9" s="24" t="s">
        <v>64</v>
      </c>
      <c r="I9" s="23" t="n">
        <v>12</v>
      </c>
      <c r="J9" s="23" t="n">
        <v>24</v>
      </c>
      <c r="K9" s="23" t="n">
        <v>36</v>
      </c>
      <c r="L9" s="23"/>
      <c r="M9" s="23"/>
      <c r="N9" s="24"/>
      <c r="O9" s="25"/>
      <c r="P9" s="26" t="s">
        <v>28</v>
      </c>
      <c r="Q9" s="27"/>
    </row>
    <row r="10" customFormat="false" ht="15" hidden="false" customHeight="false" outlineLevel="0" collapsed="false">
      <c r="A10" s="22" t="s">
        <v>65</v>
      </c>
      <c r="B10" s="23" t="s">
        <v>31</v>
      </c>
      <c r="C10" s="23" t="n">
        <v>1</v>
      </c>
      <c r="D10" s="23" t="n">
        <v>40</v>
      </c>
      <c r="E10" s="23" t="n">
        <v>85</v>
      </c>
      <c r="F10" s="23" t="s">
        <v>49</v>
      </c>
      <c r="G10" s="23"/>
      <c r="H10" s="24" t="s">
        <v>66</v>
      </c>
      <c r="I10" s="23" t="n">
        <v>13</v>
      </c>
      <c r="J10" s="23" t="n">
        <v>24</v>
      </c>
      <c r="K10" s="23" t="n">
        <v>36</v>
      </c>
      <c r="L10" s="23"/>
      <c r="M10" s="23"/>
      <c r="N10" s="24"/>
      <c r="O10" s="25"/>
      <c r="P10" s="26" t="s">
        <v>28</v>
      </c>
      <c r="Q10" s="27"/>
    </row>
    <row r="11" customFormat="false" ht="15" hidden="false" customHeight="false" outlineLevel="0" collapsed="false">
      <c r="A11" s="22" t="s">
        <v>67</v>
      </c>
      <c r="B11" s="23" t="s">
        <v>31</v>
      </c>
      <c r="C11" s="23" t="n">
        <v>1</v>
      </c>
      <c r="D11" s="23" t="n">
        <v>40</v>
      </c>
      <c r="E11" s="23" t="n">
        <v>85</v>
      </c>
      <c r="F11" s="23" t="s">
        <v>49</v>
      </c>
      <c r="G11" s="23"/>
      <c r="H11" s="24" t="s">
        <v>68</v>
      </c>
      <c r="I11" s="23" t="n">
        <v>16</v>
      </c>
      <c r="J11" s="23" t="n">
        <v>31</v>
      </c>
      <c r="K11" s="23" t="n">
        <v>46</v>
      </c>
      <c r="L11" s="23"/>
      <c r="M11" s="23"/>
      <c r="N11" s="24"/>
      <c r="O11" s="25"/>
      <c r="P11" s="26" t="s">
        <v>28</v>
      </c>
      <c r="Q11" s="27"/>
    </row>
    <row r="12" customFormat="false" ht="15" hidden="false" customHeight="false" outlineLevel="0" collapsed="false">
      <c r="A12" s="22" t="s">
        <v>69</v>
      </c>
      <c r="B12" s="23" t="s">
        <v>31</v>
      </c>
      <c r="C12" s="23" t="n">
        <v>2</v>
      </c>
      <c r="D12" s="23" t="n">
        <v>50</v>
      </c>
      <c r="E12" s="23" t="n">
        <v>85</v>
      </c>
      <c r="F12" s="23" t="s">
        <v>49</v>
      </c>
      <c r="G12" s="23"/>
      <c r="H12" s="24" t="s">
        <v>70</v>
      </c>
      <c r="I12" s="23" t="n">
        <v>14</v>
      </c>
      <c r="J12" s="23" t="n">
        <v>24</v>
      </c>
      <c r="K12" s="23" t="n">
        <v>29</v>
      </c>
      <c r="L12" s="23"/>
      <c r="M12" s="23"/>
      <c r="N12" s="24"/>
      <c r="O12" s="25"/>
      <c r="P12" s="26" t="s">
        <v>28</v>
      </c>
      <c r="Q12" s="27"/>
    </row>
    <row r="13" customFormat="false" ht="15" hidden="false" customHeight="false" outlineLevel="0" collapsed="false">
      <c r="A13" s="22" t="s">
        <v>71</v>
      </c>
      <c r="B13" s="23" t="s">
        <v>31</v>
      </c>
      <c r="C13" s="23" t="n">
        <v>2</v>
      </c>
      <c r="D13" s="23" t="n">
        <v>50</v>
      </c>
      <c r="E13" s="23" t="n">
        <v>85</v>
      </c>
      <c r="F13" s="23" t="s">
        <v>49</v>
      </c>
      <c r="G13" s="23"/>
      <c r="H13" s="24" t="s">
        <v>72</v>
      </c>
      <c r="I13" s="23" t="n">
        <v>14</v>
      </c>
      <c r="J13" s="23" t="n">
        <v>24</v>
      </c>
      <c r="K13" s="23" t="n">
        <v>29</v>
      </c>
      <c r="L13" s="23"/>
      <c r="M13" s="23"/>
      <c r="N13" s="24"/>
      <c r="O13" s="25"/>
      <c r="P13" s="26" t="s">
        <v>28</v>
      </c>
      <c r="Q13" s="27"/>
    </row>
    <row r="14" customFormat="false" ht="15" hidden="false" customHeight="false" outlineLevel="0" collapsed="false">
      <c r="A14" s="22" t="s">
        <v>73</v>
      </c>
      <c r="B14" s="23" t="s">
        <v>31</v>
      </c>
      <c r="C14" s="23" t="n">
        <v>2</v>
      </c>
      <c r="D14" s="23" t="n">
        <v>50</v>
      </c>
      <c r="E14" s="23" t="n">
        <v>85</v>
      </c>
      <c r="F14" s="23" t="s">
        <v>49</v>
      </c>
      <c r="G14" s="23"/>
      <c r="H14" s="24" t="s">
        <v>74</v>
      </c>
      <c r="I14" s="23" t="n">
        <v>14</v>
      </c>
      <c r="J14" s="23" t="n">
        <v>25</v>
      </c>
      <c r="K14" s="23" t="n">
        <v>30</v>
      </c>
      <c r="L14" s="23"/>
      <c r="M14" s="23"/>
      <c r="N14" s="24"/>
      <c r="O14" s="25"/>
      <c r="P14" s="26" t="s">
        <v>28</v>
      </c>
      <c r="Q14" s="27"/>
    </row>
    <row r="15" customFormat="false" ht="15" hidden="false" customHeight="false" outlineLevel="0" collapsed="false">
      <c r="A15" s="22" t="s">
        <v>75</v>
      </c>
      <c r="B15" s="23" t="s">
        <v>31</v>
      </c>
      <c r="C15" s="23" t="n">
        <v>2</v>
      </c>
      <c r="D15" s="23" t="n">
        <v>50</v>
      </c>
      <c r="E15" s="23" t="n">
        <v>85</v>
      </c>
      <c r="F15" s="23" t="s">
        <v>49</v>
      </c>
      <c r="G15" s="23"/>
      <c r="H15" s="24" t="s">
        <v>76</v>
      </c>
      <c r="I15" s="23" t="n">
        <v>15</v>
      </c>
      <c r="J15" s="23" t="n">
        <v>33</v>
      </c>
      <c r="K15" s="23" t="n">
        <v>40</v>
      </c>
      <c r="L15" s="23"/>
      <c r="M15" s="23"/>
      <c r="N15" s="24"/>
      <c r="O15" s="25"/>
      <c r="P15" s="26" t="s">
        <v>28</v>
      </c>
      <c r="Q15" s="27"/>
    </row>
    <row r="16" customFormat="false" ht="15" hidden="false" customHeight="false" outlineLevel="0" collapsed="false">
      <c r="A16" s="22" t="s">
        <v>77</v>
      </c>
      <c r="B16" s="23" t="s">
        <v>31</v>
      </c>
      <c r="C16" s="23" t="n">
        <v>2</v>
      </c>
      <c r="D16" s="23" t="n">
        <v>50</v>
      </c>
      <c r="E16" s="23" t="n">
        <v>85</v>
      </c>
      <c r="F16" s="23" t="s">
        <v>49</v>
      </c>
      <c r="G16" s="23"/>
      <c r="H16" s="24" t="s">
        <v>78</v>
      </c>
      <c r="I16" s="23" t="n">
        <v>14</v>
      </c>
      <c r="J16" s="23" t="n">
        <v>27</v>
      </c>
      <c r="K16" s="23" t="n">
        <v>32</v>
      </c>
      <c r="L16" s="23"/>
      <c r="M16" s="23"/>
      <c r="N16" s="24"/>
      <c r="O16" s="25"/>
      <c r="P16" s="26" t="s">
        <v>28</v>
      </c>
      <c r="Q16" s="27"/>
    </row>
    <row r="17" customFormat="false" ht="15" hidden="false" customHeight="false" outlineLevel="0" collapsed="false">
      <c r="A17" s="22" t="s">
        <v>79</v>
      </c>
      <c r="B17" s="23" t="s">
        <v>31</v>
      </c>
      <c r="C17" s="23" t="n">
        <v>2</v>
      </c>
      <c r="D17" s="23" t="n">
        <v>50</v>
      </c>
      <c r="E17" s="23" t="n">
        <v>85</v>
      </c>
      <c r="F17" s="23" t="s">
        <v>49</v>
      </c>
      <c r="G17" s="23"/>
      <c r="H17" s="24" t="s">
        <v>80</v>
      </c>
      <c r="I17" s="23" t="n">
        <v>14</v>
      </c>
      <c r="J17" s="23" t="n">
        <v>29</v>
      </c>
      <c r="K17" s="23" t="n">
        <v>35</v>
      </c>
      <c r="L17" s="23"/>
      <c r="M17" s="23"/>
      <c r="N17" s="24"/>
      <c r="O17" s="25"/>
      <c r="P17" s="26" t="s">
        <v>28</v>
      </c>
      <c r="Q17" s="27"/>
    </row>
    <row r="18" customFormat="false" ht="15" hidden="false" customHeight="false" outlineLevel="0" collapsed="false">
      <c r="A18" s="22" t="s">
        <v>81</v>
      </c>
      <c r="B18" s="23" t="s">
        <v>31</v>
      </c>
      <c r="C18" s="23" t="n">
        <v>2</v>
      </c>
      <c r="D18" s="23" t="n">
        <v>50</v>
      </c>
      <c r="E18" s="23" t="n">
        <v>85</v>
      </c>
      <c r="F18" s="23" t="s">
        <v>49</v>
      </c>
      <c r="G18" s="23"/>
      <c r="H18" s="24" t="s">
        <v>82</v>
      </c>
      <c r="I18" s="23" t="n">
        <v>15</v>
      </c>
      <c r="J18" s="23" t="n">
        <v>31</v>
      </c>
      <c r="K18" s="23" t="n">
        <v>37</v>
      </c>
      <c r="L18" s="23"/>
      <c r="M18" s="23"/>
      <c r="N18" s="24"/>
      <c r="O18" s="25"/>
      <c r="P18" s="26" t="s">
        <v>28</v>
      </c>
      <c r="Q18" s="27"/>
    </row>
    <row r="19" customFormat="false" ht="15" hidden="false" customHeight="false" outlineLevel="0" collapsed="false">
      <c r="A19" s="22" t="s">
        <v>83</v>
      </c>
      <c r="B19" s="23" t="s">
        <v>31</v>
      </c>
      <c r="C19" s="23" t="n">
        <v>2</v>
      </c>
      <c r="D19" s="23" t="n">
        <v>50</v>
      </c>
      <c r="E19" s="23" t="n">
        <v>85</v>
      </c>
      <c r="F19" s="23" t="s">
        <v>49</v>
      </c>
      <c r="G19" s="23"/>
      <c r="H19" s="24" t="s">
        <v>84</v>
      </c>
      <c r="I19" s="23" t="n">
        <v>14</v>
      </c>
      <c r="J19" s="23" t="n">
        <v>34</v>
      </c>
      <c r="K19" s="23" t="n">
        <v>41</v>
      </c>
      <c r="L19" s="23"/>
      <c r="M19" s="23"/>
      <c r="N19" s="24"/>
      <c r="O19" s="25"/>
      <c r="P19" s="26" t="s">
        <v>28</v>
      </c>
      <c r="Q19" s="27"/>
    </row>
    <row r="20" customFormat="false" ht="15" hidden="false" customHeight="false" outlineLevel="0" collapsed="false">
      <c r="A20" s="22" t="s">
        <v>85</v>
      </c>
      <c r="B20" s="23" t="s">
        <v>31</v>
      </c>
      <c r="C20" s="23" t="n">
        <v>2</v>
      </c>
      <c r="D20" s="23" t="n">
        <v>50</v>
      </c>
      <c r="E20" s="23" t="n">
        <v>85</v>
      </c>
      <c r="F20" s="23" t="s">
        <v>49</v>
      </c>
      <c r="G20" s="23"/>
      <c r="H20" s="24" t="s">
        <v>86</v>
      </c>
      <c r="I20" s="23" t="n">
        <v>15</v>
      </c>
      <c r="J20" s="23" t="n">
        <v>30</v>
      </c>
      <c r="K20" s="23" t="n">
        <v>36</v>
      </c>
      <c r="L20" s="23"/>
      <c r="M20" s="23"/>
      <c r="N20" s="24"/>
      <c r="O20" s="25"/>
      <c r="P20" s="26" t="s">
        <v>28</v>
      </c>
      <c r="Q20" s="27"/>
    </row>
    <row r="21" customFormat="false" ht="15" hidden="false" customHeight="false" outlineLevel="0" collapsed="false">
      <c r="A21" s="22" t="s">
        <v>87</v>
      </c>
      <c r="B21" s="23" t="s">
        <v>31</v>
      </c>
      <c r="C21" s="23" t="n">
        <v>2</v>
      </c>
      <c r="D21" s="23" t="n">
        <v>50</v>
      </c>
      <c r="E21" s="23" t="n">
        <v>85</v>
      </c>
      <c r="F21" s="23" t="s">
        <v>49</v>
      </c>
      <c r="G21" s="23"/>
      <c r="H21" s="24" t="s">
        <v>88</v>
      </c>
      <c r="I21" s="23" t="n">
        <v>14</v>
      </c>
      <c r="J21" s="23" t="n">
        <v>26</v>
      </c>
      <c r="K21" s="23" t="n">
        <v>31</v>
      </c>
      <c r="L21" s="23"/>
      <c r="M21" s="23"/>
      <c r="N21" s="24"/>
      <c r="O21" s="25"/>
      <c r="P21" s="26" t="s">
        <v>28</v>
      </c>
      <c r="Q21" s="27"/>
    </row>
    <row r="22" customFormat="false" ht="15" hidden="false" customHeight="false" outlineLevel="0" collapsed="false">
      <c r="A22" s="22" t="s">
        <v>89</v>
      </c>
      <c r="B22" s="23" t="s">
        <v>31</v>
      </c>
      <c r="C22" s="23" t="n">
        <v>3</v>
      </c>
      <c r="D22" s="23" t="n">
        <v>60</v>
      </c>
      <c r="E22" s="23" t="n">
        <v>85</v>
      </c>
      <c r="F22" s="23" t="s">
        <v>49</v>
      </c>
      <c r="G22" s="23"/>
      <c r="H22" s="24" t="s">
        <v>90</v>
      </c>
      <c r="I22" s="23" t="n">
        <v>15</v>
      </c>
      <c r="J22" s="23" t="n">
        <v>28</v>
      </c>
      <c r="K22" s="23" t="n">
        <v>28</v>
      </c>
      <c r="L22" s="23"/>
      <c r="M22" s="23"/>
      <c r="N22" s="24"/>
      <c r="O22" s="25"/>
      <c r="P22" s="26" t="s">
        <v>28</v>
      </c>
      <c r="Q22" s="27"/>
    </row>
    <row r="23" customFormat="false" ht="15" hidden="false" customHeight="false" outlineLevel="0" collapsed="false">
      <c r="A23" s="22" t="s">
        <v>91</v>
      </c>
      <c r="B23" s="23" t="s">
        <v>31</v>
      </c>
      <c r="C23" s="23" t="n">
        <v>3</v>
      </c>
      <c r="D23" s="23" t="n">
        <v>60</v>
      </c>
      <c r="E23" s="23" t="n">
        <v>85</v>
      </c>
      <c r="F23" s="23" t="s">
        <v>49</v>
      </c>
      <c r="G23" s="23"/>
      <c r="H23" s="24" t="s">
        <v>92</v>
      </c>
      <c r="I23" s="23" t="n">
        <v>14</v>
      </c>
      <c r="J23" s="23" t="n">
        <v>30</v>
      </c>
      <c r="K23" s="23" t="n">
        <v>30</v>
      </c>
      <c r="L23" s="23"/>
      <c r="M23" s="23"/>
      <c r="N23" s="24"/>
      <c r="O23" s="25"/>
      <c r="P23" s="26" t="s">
        <v>28</v>
      </c>
      <c r="Q23" s="27"/>
    </row>
    <row r="24" customFormat="false" ht="15" hidden="false" customHeight="false" outlineLevel="0" collapsed="false">
      <c r="A24" s="22" t="s">
        <v>93</v>
      </c>
      <c r="B24" s="23" t="s">
        <v>31</v>
      </c>
      <c r="C24" s="23" t="n">
        <v>3</v>
      </c>
      <c r="D24" s="23" t="n">
        <v>60</v>
      </c>
      <c r="E24" s="23" t="n">
        <v>85</v>
      </c>
      <c r="F24" s="23" t="s">
        <v>49</v>
      </c>
      <c r="G24" s="23"/>
      <c r="H24" s="24" t="s">
        <v>94</v>
      </c>
      <c r="I24" s="23" t="n">
        <v>15</v>
      </c>
      <c r="J24" s="23" t="n">
        <v>30</v>
      </c>
      <c r="K24" s="23" t="n">
        <v>30</v>
      </c>
      <c r="L24" s="23"/>
      <c r="M24" s="23"/>
      <c r="N24" s="24"/>
      <c r="O24" s="25"/>
      <c r="P24" s="26" t="s">
        <v>28</v>
      </c>
      <c r="Q24" s="27"/>
    </row>
    <row r="25" customFormat="false" ht="15" hidden="false" customHeight="false" outlineLevel="0" collapsed="false">
      <c r="A25" s="22" t="s">
        <v>95</v>
      </c>
      <c r="B25" s="23" t="s">
        <v>31</v>
      </c>
      <c r="C25" s="23" t="n">
        <v>3</v>
      </c>
      <c r="D25" s="23" t="n">
        <v>60</v>
      </c>
      <c r="E25" s="23" t="n">
        <v>85</v>
      </c>
      <c r="F25" s="23" t="s">
        <v>49</v>
      </c>
      <c r="G25" s="23"/>
      <c r="H25" s="24" t="s">
        <v>96</v>
      </c>
      <c r="I25" s="23" t="n">
        <v>16</v>
      </c>
      <c r="J25" s="23" t="n">
        <v>33</v>
      </c>
      <c r="K25" s="23" t="n">
        <v>33</v>
      </c>
      <c r="L25" s="23"/>
      <c r="M25" s="23"/>
      <c r="N25" s="24"/>
      <c r="O25" s="25"/>
      <c r="P25" s="26" t="s">
        <v>28</v>
      </c>
      <c r="Q25" s="27"/>
    </row>
    <row r="26" customFormat="false" ht="15" hidden="false" customHeight="false" outlineLevel="0" collapsed="false">
      <c r="A26" s="22" t="s">
        <v>97</v>
      </c>
      <c r="B26" s="23" t="s">
        <v>31</v>
      </c>
      <c r="C26" s="23" t="n">
        <v>3</v>
      </c>
      <c r="D26" s="23" t="n">
        <v>60</v>
      </c>
      <c r="E26" s="23" t="n">
        <v>85</v>
      </c>
      <c r="F26" s="23" t="s">
        <v>49</v>
      </c>
      <c r="G26" s="23"/>
      <c r="H26" s="24" t="s">
        <v>98</v>
      </c>
      <c r="I26" s="23" t="n">
        <v>16</v>
      </c>
      <c r="J26" s="23" t="n">
        <v>35</v>
      </c>
      <c r="K26" s="23" t="n">
        <v>35</v>
      </c>
      <c r="L26" s="23"/>
      <c r="M26" s="23"/>
      <c r="N26" s="24"/>
      <c r="O26" s="25"/>
      <c r="P26" s="26" t="s">
        <v>28</v>
      </c>
      <c r="Q26" s="27"/>
    </row>
    <row r="27" customFormat="false" ht="15" hidden="false" customHeight="false" outlineLevel="0" collapsed="false">
      <c r="A27" s="22" t="s">
        <v>99</v>
      </c>
      <c r="B27" s="23" t="s">
        <v>31</v>
      </c>
      <c r="C27" s="23" t="n">
        <v>3</v>
      </c>
      <c r="D27" s="23" t="n">
        <v>60</v>
      </c>
      <c r="E27" s="23" t="n">
        <v>85</v>
      </c>
      <c r="F27" s="23" t="s">
        <v>49</v>
      </c>
      <c r="G27" s="23"/>
      <c r="H27" s="24" t="s">
        <v>100</v>
      </c>
      <c r="I27" s="23" t="n">
        <v>15</v>
      </c>
      <c r="J27" s="23" t="n">
        <v>29</v>
      </c>
      <c r="K27" s="23" t="n">
        <v>29</v>
      </c>
      <c r="L27" s="23"/>
      <c r="M27" s="23"/>
      <c r="N27" s="24"/>
      <c r="O27" s="25"/>
      <c r="P27" s="26" t="s">
        <v>28</v>
      </c>
      <c r="Q27" s="27"/>
    </row>
    <row r="28" customFormat="false" ht="15" hidden="false" customHeight="false" outlineLevel="0" collapsed="false">
      <c r="A28" s="22" t="s">
        <v>101</v>
      </c>
      <c r="B28" s="23" t="s">
        <v>31</v>
      </c>
      <c r="C28" s="23" t="n">
        <v>3</v>
      </c>
      <c r="D28" s="23" t="n">
        <v>60</v>
      </c>
      <c r="E28" s="23" t="n">
        <v>85</v>
      </c>
      <c r="F28" s="23" t="s">
        <v>49</v>
      </c>
      <c r="G28" s="23"/>
      <c r="H28" s="24" t="s">
        <v>102</v>
      </c>
      <c r="I28" s="23" t="n">
        <v>14</v>
      </c>
      <c r="J28" s="23" t="n">
        <v>30</v>
      </c>
      <c r="K28" s="23" t="n">
        <v>30</v>
      </c>
      <c r="L28" s="23"/>
      <c r="M28" s="23"/>
      <c r="N28" s="24"/>
      <c r="O28" s="25"/>
      <c r="P28" s="26" t="s">
        <v>28</v>
      </c>
      <c r="Q28" s="27"/>
    </row>
    <row r="29" customFormat="false" ht="15" hidden="false" customHeight="false" outlineLevel="0" collapsed="false">
      <c r="A29" s="22" t="s">
        <v>103</v>
      </c>
      <c r="B29" s="23" t="s">
        <v>31</v>
      </c>
      <c r="C29" s="23" t="n">
        <v>3</v>
      </c>
      <c r="D29" s="23" t="n">
        <v>60</v>
      </c>
      <c r="E29" s="23" t="n">
        <v>85</v>
      </c>
      <c r="F29" s="23" t="s">
        <v>49</v>
      </c>
      <c r="G29" s="23"/>
      <c r="H29" s="24" t="s">
        <v>104</v>
      </c>
      <c r="I29" s="23" t="n">
        <v>13</v>
      </c>
      <c r="J29" s="23" t="n">
        <v>25</v>
      </c>
      <c r="K29" s="23" t="n">
        <v>25</v>
      </c>
      <c r="L29" s="23"/>
      <c r="M29" s="23"/>
      <c r="N29" s="24"/>
      <c r="O29" s="25"/>
      <c r="P29" s="26" t="s">
        <v>28</v>
      </c>
      <c r="Q29" s="27"/>
    </row>
    <row r="30" customFormat="false" ht="15" hidden="false" customHeight="false" outlineLevel="0" collapsed="false">
      <c r="A30" s="22" t="s">
        <v>105</v>
      </c>
      <c r="B30" s="23" t="s">
        <v>31</v>
      </c>
      <c r="C30" s="23" t="n">
        <v>3</v>
      </c>
      <c r="D30" s="23" t="n">
        <v>60</v>
      </c>
      <c r="E30" s="23" t="n">
        <v>85</v>
      </c>
      <c r="F30" s="23" t="s">
        <v>49</v>
      </c>
      <c r="G30" s="23"/>
      <c r="H30" s="24" t="s">
        <v>106</v>
      </c>
      <c r="I30" s="23" t="n">
        <v>15</v>
      </c>
      <c r="J30" s="23" t="n">
        <v>32</v>
      </c>
      <c r="K30" s="23" t="n">
        <v>32</v>
      </c>
      <c r="L30" s="23"/>
      <c r="M30" s="23"/>
      <c r="N30" s="24"/>
      <c r="O30" s="25"/>
      <c r="P30" s="26" t="s">
        <v>28</v>
      </c>
      <c r="Q30" s="27"/>
    </row>
    <row r="31" customFormat="false" ht="15" hidden="false" customHeight="false" outlineLevel="0" collapsed="false">
      <c r="A31" s="22" t="s">
        <v>107</v>
      </c>
      <c r="B31" s="23" t="s">
        <v>31</v>
      </c>
      <c r="C31" s="23" t="n">
        <v>3</v>
      </c>
      <c r="D31" s="23" t="n">
        <v>60</v>
      </c>
      <c r="E31" s="23" t="n">
        <v>85</v>
      </c>
      <c r="F31" s="23" t="s">
        <v>49</v>
      </c>
      <c r="G31" s="23"/>
      <c r="H31" s="24" t="s">
        <v>108</v>
      </c>
      <c r="I31" s="23" t="n">
        <v>15</v>
      </c>
      <c r="J31" s="23" t="n">
        <v>33</v>
      </c>
      <c r="K31" s="23" t="n">
        <v>33</v>
      </c>
      <c r="L31" s="23"/>
      <c r="M31" s="23"/>
      <c r="N31" s="24"/>
      <c r="O31" s="25"/>
      <c r="P31" s="26" t="s">
        <v>28</v>
      </c>
      <c r="Q31" s="27"/>
    </row>
    <row r="32" customFormat="false" ht="15" hidden="false" customHeight="false" outlineLevel="0" collapsed="false">
      <c r="A32" s="22" t="s">
        <v>109</v>
      </c>
      <c r="B32" s="23" t="s">
        <v>31</v>
      </c>
      <c r="C32" s="23" t="n">
        <v>4</v>
      </c>
      <c r="D32" s="23" t="n">
        <v>70</v>
      </c>
      <c r="E32" s="23" t="n">
        <v>85</v>
      </c>
      <c r="F32" s="23" t="s">
        <v>49</v>
      </c>
      <c r="G32" s="23"/>
      <c r="H32" s="24" t="s">
        <v>110</v>
      </c>
      <c r="I32" s="23" t="n">
        <v>12</v>
      </c>
      <c r="J32" s="23" t="n">
        <v>26</v>
      </c>
      <c r="K32" s="23" t="n">
        <v>22</v>
      </c>
      <c r="L32" s="23"/>
      <c r="M32" s="23"/>
      <c r="N32" s="24"/>
      <c r="O32" s="25"/>
      <c r="P32" s="26" t="s">
        <v>28</v>
      </c>
      <c r="Q32" s="27"/>
    </row>
    <row r="33" customFormat="false" ht="15" hidden="false" customHeight="false" outlineLevel="0" collapsed="false">
      <c r="A33" s="22" t="s">
        <v>111</v>
      </c>
      <c r="B33" s="23" t="s">
        <v>31</v>
      </c>
      <c r="C33" s="23" t="n">
        <v>4</v>
      </c>
      <c r="D33" s="23" t="n">
        <v>70</v>
      </c>
      <c r="E33" s="23" t="n">
        <v>85</v>
      </c>
      <c r="F33" s="23" t="s">
        <v>49</v>
      </c>
      <c r="G33" s="23"/>
      <c r="H33" s="24" t="s">
        <v>112</v>
      </c>
      <c r="I33" s="23" t="n">
        <v>14</v>
      </c>
      <c r="J33" s="23" t="n">
        <v>25</v>
      </c>
      <c r="K33" s="23" t="n">
        <v>21</v>
      </c>
      <c r="L33" s="23"/>
      <c r="M33" s="23"/>
      <c r="N33" s="24"/>
      <c r="O33" s="25"/>
      <c r="P33" s="26" t="s">
        <v>28</v>
      </c>
      <c r="Q33" s="27"/>
    </row>
    <row r="34" customFormat="false" ht="15" hidden="false" customHeight="false" outlineLevel="0" collapsed="false">
      <c r="A34" s="22" t="s">
        <v>113</v>
      </c>
      <c r="B34" s="23" t="s">
        <v>31</v>
      </c>
      <c r="C34" s="23" t="n">
        <v>4</v>
      </c>
      <c r="D34" s="23" t="n">
        <v>70</v>
      </c>
      <c r="E34" s="23" t="n">
        <v>85</v>
      </c>
      <c r="F34" s="23" t="s">
        <v>49</v>
      </c>
      <c r="G34" s="23"/>
      <c r="H34" s="24" t="s">
        <v>114</v>
      </c>
      <c r="I34" s="23" t="n">
        <v>14</v>
      </c>
      <c r="J34" s="23" t="n">
        <v>33</v>
      </c>
      <c r="K34" s="23" t="n">
        <v>28</v>
      </c>
      <c r="L34" s="23"/>
      <c r="M34" s="23"/>
      <c r="N34" s="24"/>
      <c r="O34" s="25"/>
      <c r="P34" s="26" t="s">
        <v>28</v>
      </c>
      <c r="Q34" s="27"/>
    </row>
    <row r="35" customFormat="false" ht="15" hidden="false" customHeight="false" outlineLevel="0" collapsed="false">
      <c r="A35" s="22" t="s">
        <v>115</v>
      </c>
      <c r="B35" s="23" t="s">
        <v>31</v>
      </c>
      <c r="C35" s="23" t="n">
        <v>4</v>
      </c>
      <c r="D35" s="23" t="n">
        <v>70</v>
      </c>
      <c r="E35" s="23" t="n">
        <v>85</v>
      </c>
      <c r="F35" s="23" t="s">
        <v>49</v>
      </c>
      <c r="G35" s="23"/>
      <c r="H35" s="24" t="s">
        <v>116</v>
      </c>
      <c r="I35" s="23" t="n">
        <v>12</v>
      </c>
      <c r="J35" s="23" t="n">
        <v>26</v>
      </c>
      <c r="K35" s="23" t="n">
        <v>22</v>
      </c>
      <c r="L35" s="23"/>
      <c r="M35" s="23"/>
      <c r="N35" s="24"/>
      <c r="O35" s="25"/>
      <c r="P35" s="26" t="s">
        <v>28</v>
      </c>
      <c r="Q35" s="27"/>
    </row>
    <row r="36" customFormat="false" ht="15" hidden="false" customHeight="false" outlineLevel="0" collapsed="false">
      <c r="A36" s="22" t="s">
        <v>117</v>
      </c>
      <c r="B36" s="23" t="s">
        <v>31</v>
      </c>
      <c r="C36" s="23" t="n">
        <v>4</v>
      </c>
      <c r="D36" s="23" t="n">
        <v>70</v>
      </c>
      <c r="E36" s="23" t="n">
        <v>85</v>
      </c>
      <c r="F36" s="23" t="s">
        <v>49</v>
      </c>
      <c r="G36" s="23"/>
      <c r="H36" s="24" t="s">
        <v>118</v>
      </c>
      <c r="I36" s="23" t="n">
        <v>14</v>
      </c>
      <c r="J36" s="23" t="n">
        <v>27</v>
      </c>
      <c r="K36" s="23" t="n">
        <v>23</v>
      </c>
      <c r="L36" s="23"/>
      <c r="M36" s="23"/>
      <c r="N36" s="24"/>
      <c r="O36" s="25"/>
      <c r="P36" s="26" t="s">
        <v>28</v>
      </c>
      <c r="Q36" s="27"/>
    </row>
    <row r="37" customFormat="false" ht="15" hidden="false" customHeight="false" outlineLevel="0" collapsed="false">
      <c r="A37" s="22" t="s">
        <v>119</v>
      </c>
      <c r="B37" s="23" t="s">
        <v>31</v>
      </c>
      <c r="C37" s="23" t="n">
        <v>4</v>
      </c>
      <c r="D37" s="23" t="n">
        <v>70</v>
      </c>
      <c r="E37" s="23" t="n">
        <v>85</v>
      </c>
      <c r="F37" s="23" t="s">
        <v>49</v>
      </c>
      <c r="G37" s="23"/>
      <c r="H37" s="24" t="s">
        <v>120</v>
      </c>
      <c r="I37" s="23" t="n">
        <v>12</v>
      </c>
      <c r="J37" s="23" t="n">
        <v>25</v>
      </c>
      <c r="K37" s="23" t="n">
        <v>21</v>
      </c>
      <c r="L37" s="23"/>
      <c r="M37" s="23"/>
      <c r="N37" s="24"/>
      <c r="O37" s="25"/>
      <c r="P37" s="26" t="s">
        <v>28</v>
      </c>
      <c r="Q37" s="27"/>
    </row>
    <row r="38" customFormat="false" ht="15" hidden="false" customHeight="false" outlineLevel="0" collapsed="false">
      <c r="A38" s="22" t="s">
        <v>121</v>
      </c>
      <c r="B38" s="23" t="s">
        <v>31</v>
      </c>
      <c r="C38" s="23" t="n">
        <v>4</v>
      </c>
      <c r="D38" s="23" t="n">
        <v>70</v>
      </c>
      <c r="E38" s="23" t="n">
        <v>85</v>
      </c>
      <c r="F38" s="23" t="s">
        <v>49</v>
      </c>
      <c r="G38" s="23"/>
      <c r="H38" s="24" t="s">
        <v>122</v>
      </c>
      <c r="I38" s="23" t="n">
        <v>12</v>
      </c>
      <c r="J38" s="23" t="n">
        <v>27</v>
      </c>
      <c r="K38" s="23" t="n">
        <v>23</v>
      </c>
      <c r="L38" s="23"/>
      <c r="M38" s="23"/>
      <c r="N38" s="24"/>
      <c r="O38" s="25"/>
      <c r="P38" s="26" t="s">
        <v>28</v>
      </c>
      <c r="Q38" s="27"/>
    </row>
    <row r="39" customFormat="false" ht="15" hidden="false" customHeight="false" outlineLevel="0" collapsed="false">
      <c r="A39" s="22" t="s">
        <v>123</v>
      </c>
      <c r="B39" s="23" t="s">
        <v>31</v>
      </c>
      <c r="C39" s="23" t="n">
        <v>4</v>
      </c>
      <c r="D39" s="23" t="n">
        <v>70</v>
      </c>
      <c r="E39" s="23" t="n">
        <v>85</v>
      </c>
      <c r="F39" s="23" t="s">
        <v>49</v>
      </c>
      <c r="G39" s="23"/>
      <c r="H39" s="24" t="s">
        <v>124</v>
      </c>
      <c r="I39" s="23" t="n">
        <v>13</v>
      </c>
      <c r="J39" s="23" t="n">
        <v>28</v>
      </c>
      <c r="K39" s="23" t="n">
        <v>24</v>
      </c>
      <c r="L39" s="23"/>
      <c r="M39" s="23"/>
      <c r="N39" s="24"/>
      <c r="O39" s="25"/>
      <c r="P39" s="26" t="s">
        <v>28</v>
      </c>
      <c r="Q39" s="27"/>
    </row>
    <row r="40" customFormat="false" ht="15" hidden="false" customHeight="false" outlineLevel="0" collapsed="false">
      <c r="A40" s="22" t="s">
        <v>125</v>
      </c>
      <c r="B40" s="23" t="s">
        <v>31</v>
      </c>
      <c r="C40" s="23" t="n">
        <v>4</v>
      </c>
      <c r="D40" s="23" t="n">
        <v>70</v>
      </c>
      <c r="E40" s="23" t="n">
        <v>85</v>
      </c>
      <c r="F40" s="23" t="s">
        <v>49</v>
      </c>
      <c r="G40" s="23"/>
      <c r="H40" s="24" t="s">
        <v>126</v>
      </c>
      <c r="I40" s="23" t="n">
        <v>14</v>
      </c>
      <c r="J40" s="23" t="n">
        <v>36</v>
      </c>
      <c r="K40" s="23" t="n">
        <v>31</v>
      </c>
      <c r="L40" s="23"/>
      <c r="M40" s="23"/>
      <c r="N40" s="24"/>
      <c r="O40" s="25"/>
      <c r="P40" s="26" t="s">
        <v>28</v>
      </c>
      <c r="Q40" s="27"/>
    </row>
    <row r="41" customFormat="false" ht="15" hidden="false" customHeight="false" outlineLevel="0" collapsed="false">
      <c r="A41" s="22" t="s">
        <v>127</v>
      </c>
      <c r="B41" s="23" t="s">
        <v>31</v>
      </c>
      <c r="C41" s="23" t="n">
        <v>4</v>
      </c>
      <c r="D41" s="23" t="n">
        <v>70</v>
      </c>
      <c r="E41" s="23" t="n">
        <v>85</v>
      </c>
      <c r="F41" s="23" t="s">
        <v>49</v>
      </c>
      <c r="G41" s="23"/>
      <c r="H41" s="24" t="s">
        <v>128</v>
      </c>
      <c r="I41" s="23" t="n">
        <v>18</v>
      </c>
      <c r="J41" s="23" t="n">
        <v>39</v>
      </c>
      <c r="K41" s="23" t="n">
        <v>33</v>
      </c>
      <c r="L41" s="23"/>
      <c r="M41" s="23"/>
      <c r="N41" s="24"/>
      <c r="O41" s="25"/>
      <c r="P41" s="26" t="s">
        <v>28</v>
      </c>
      <c r="Q41" s="27"/>
    </row>
    <row r="42" customFormat="false" ht="15" hidden="false" customHeight="false" outlineLevel="0" collapsed="false">
      <c r="A42" s="22" t="s">
        <v>129</v>
      </c>
      <c r="B42" s="23" t="s">
        <v>31</v>
      </c>
      <c r="C42" s="23" t="n">
        <v>5</v>
      </c>
      <c r="D42" s="23" t="n">
        <v>80</v>
      </c>
      <c r="E42" s="23" t="n">
        <v>85</v>
      </c>
      <c r="F42" s="23" t="s">
        <v>49</v>
      </c>
      <c r="G42" s="23"/>
      <c r="H42" s="24" t="s">
        <v>130</v>
      </c>
      <c r="I42" s="23" t="n">
        <v>11</v>
      </c>
      <c r="J42" s="23" t="n">
        <v>29</v>
      </c>
      <c r="K42" s="23" t="n">
        <v>22</v>
      </c>
      <c r="L42" s="23"/>
      <c r="M42" s="23"/>
      <c r="N42" s="24"/>
      <c r="O42" s="25"/>
      <c r="P42" s="26" t="s">
        <v>28</v>
      </c>
      <c r="Q42" s="27"/>
    </row>
    <row r="43" customFormat="false" ht="15" hidden="false" customHeight="false" outlineLevel="0" collapsed="false">
      <c r="A43" s="22" t="s">
        <v>131</v>
      </c>
      <c r="B43" s="23" t="s">
        <v>31</v>
      </c>
      <c r="C43" s="23" t="n">
        <v>5</v>
      </c>
      <c r="D43" s="23" t="n">
        <v>80</v>
      </c>
      <c r="E43" s="23" t="n">
        <v>85</v>
      </c>
      <c r="F43" s="23" t="s">
        <v>49</v>
      </c>
      <c r="G43" s="23"/>
      <c r="H43" s="24" t="s">
        <v>132</v>
      </c>
      <c r="I43" s="23" t="n">
        <v>14</v>
      </c>
      <c r="J43" s="23" t="n">
        <v>34</v>
      </c>
      <c r="K43" s="23" t="n">
        <v>26</v>
      </c>
      <c r="L43" s="23"/>
      <c r="M43" s="23"/>
      <c r="N43" s="24"/>
      <c r="O43" s="25"/>
      <c r="P43" s="26" t="s">
        <v>28</v>
      </c>
      <c r="Q43" s="27"/>
    </row>
    <row r="44" customFormat="false" ht="15" hidden="false" customHeight="false" outlineLevel="0" collapsed="false">
      <c r="A44" s="22" t="s">
        <v>133</v>
      </c>
      <c r="B44" s="23" t="s">
        <v>31</v>
      </c>
      <c r="C44" s="23" t="n">
        <v>5</v>
      </c>
      <c r="D44" s="23" t="n">
        <v>80</v>
      </c>
      <c r="E44" s="23" t="n">
        <v>85</v>
      </c>
      <c r="F44" s="23" t="s">
        <v>49</v>
      </c>
      <c r="G44" s="23"/>
      <c r="H44" s="24" t="s">
        <v>134</v>
      </c>
      <c r="I44" s="23" t="n">
        <v>14</v>
      </c>
      <c r="J44" s="23" t="n">
        <v>35</v>
      </c>
      <c r="K44" s="23" t="n">
        <v>26</v>
      </c>
      <c r="L44" s="23"/>
      <c r="M44" s="23"/>
      <c r="N44" s="24"/>
      <c r="O44" s="25"/>
      <c r="P44" s="26" t="s">
        <v>28</v>
      </c>
      <c r="Q44" s="27"/>
    </row>
    <row r="45" customFormat="false" ht="15" hidden="false" customHeight="false" outlineLevel="0" collapsed="false">
      <c r="A45" s="22" t="s">
        <v>135</v>
      </c>
      <c r="B45" s="23" t="s">
        <v>31</v>
      </c>
      <c r="C45" s="23" t="n">
        <v>5</v>
      </c>
      <c r="D45" s="23" t="n">
        <v>80</v>
      </c>
      <c r="E45" s="23" t="n">
        <v>85</v>
      </c>
      <c r="F45" s="23" t="s">
        <v>49</v>
      </c>
      <c r="G45" s="23"/>
      <c r="H45" s="24" t="s">
        <v>136</v>
      </c>
      <c r="I45" s="23" t="n">
        <v>14</v>
      </c>
      <c r="J45" s="23" t="n">
        <v>34</v>
      </c>
      <c r="K45" s="23" t="n">
        <v>26</v>
      </c>
      <c r="L45" s="23"/>
      <c r="M45" s="23"/>
      <c r="N45" s="24"/>
      <c r="O45" s="25"/>
      <c r="P45" s="26" t="s">
        <v>28</v>
      </c>
      <c r="Q45" s="27"/>
    </row>
    <row r="46" customFormat="false" ht="15" hidden="false" customHeight="false" outlineLevel="0" collapsed="false">
      <c r="A46" s="22" t="s">
        <v>137</v>
      </c>
      <c r="B46" s="23" t="s">
        <v>31</v>
      </c>
      <c r="C46" s="23" t="n">
        <v>5</v>
      </c>
      <c r="D46" s="23" t="n">
        <v>80</v>
      </c>
      <c r="E46" s="23" t="n">
        <v>85</v>
      </c>
      <c r="F46" s="23" t="s">
        <v>49</v>
      </c>
      <c r="G46" s="23"/>
      <c r="H46" s="24" t="s">
        <v>138</v>
      </c>
      <c r="I46" s="23" t="n">
        <v>11</v>
      </c>
      <c r="J46" s="23" t="n">
        <v>28</v>
      </c>
      <c r="K46" s="23" t="n">
        <v>21</v>
      </c>
      <c r="L46" s="23"/>
      <c r="M46" s="23"/>
      <c r="N46" s="24"/>
      <c r="O46" s="25"/>
      <c r="P46" s="26" t="s">
        <v>28</v>
      </c>
      <c r="Q46" s="27"/>
    </row>
    <row r="47" customFormat="false" ht="15" hidden="false" customHeight="false" outlineLevel="0" collapsed="false">
      <c r="A47" s="22" t="s">
        <v>139</v>
      </c>
      <c r="B47" s="23" t="s">
        <v>31</v>
      </c>
      <c r="C47" s="23" t="n">
        <v>5</v>
      </c>
      <c r="D47" s="23" t="n">
        <v>80</v>
      </c>
      <c r="E47" s="23" t="n">
        <v>85</v>
      </c>
      <c r="F47" s="23" t="s">
        <v>49</v>
      </c>
      <c r="G47" s="23"/>
      <c r="H47" s="24" t="s">
        <v>140</v>
      </c>
      <c r="I47" s="23" t="n">
        <v>12</v>
      </c>
      <c r="J47" s="23" t="n">
        <v>29</v>
      </c>
      <c r="K47" s="23" t="n">
        <v>22</v>
      </c>
      <c r="L47" s="23"/>
      <c r="M47" s="23"/>
      <c r="N47" s="24"/>
      <c r="O47" s="25"/>
      <c r="P47" s="26" t="s">
        <v>28</v>
      </c>
      <c r="Q47" s="27"/>
    </row>
    <row r="48" customFormat="false" ht="15" hidden="false" customHeight="false" outlineLevel="0" collapsed="false">
      <c r="A48" s="22" t="s">
        <v>141</v>
      </c>
      <c r="B48" s="23" t="s">
        <v>31</v>
      </c>
      <c r="C48" s="23" t="n">
        <v>5</v>
      </c>
      <c r="D48" s="23" t="n">
        <v>80</v>
      </c>
      <c r="E48" s="23" t="n">
        <v>85</v>
      </c>
      <c r="F48" s="23" t="s">
        <v>49</v>
      </c>
      <c r="G48" s="23"/>
      <c r="H48" s="24" t="s">
        <v>142</v>
      </c>
      <c r="I48" s="23" t="n">
        <v>13</v>
      </c>
      <c r="J48" s="23" t="n">
        <v>25</v>
      </c>
      <c r="K48" s="23" t="n">
        <v>19</v>
      </c>
      <c r="L48" s="23"/>
      <c r="M48" s="23"/>
      <c r="N48" s="24"/>
      <c r="O48" s="25"/>
      <c r="P48" s="26" t="s">
        <v>28</v>
      </c>
      <c r="Q48" s="27"/>
    </row>
    <row r="49" customFormat="false" ht="15" hidden="false" customHeight="false" outlineLevel="0" collapsed="false">
      <c r="A49" s="22" t="s">
        <v>143</v>
      </c>
      <c r="B49" s="23" t="s">
        <v>31</v>
      </c>
      <c r="C49" s="23" t="n">
        <v>5</v>
      </c>
      <c r="D49" s="23" t="n">
        <v>80</v>
      </c>
      <c r="E49" s="23" t="n">
        <v>85</v>
      </c>
      <c r="F49" s="23" t="s">
        <v>49</v>
      </c>
      <c r="G49" s="23"/>
      <c r="H49" s="24" t="s">
        <v>144</v>
      </c>
      <c r="I49" s="23" t="n">
        <v>12</v>
      </c>
      <c r="J49" s="23" t="n">
        <v>29</v>
      </c>
      <c r="K49" s="23" t="n">
        <v>22</v>
      </c>
      <c r="L49" s="23"/>
      <c r="M49" s="23"/>
      <c r="N49" s="24"/>
      <c r="O49" s="25"/>
      <c r="P49" s="26" t="s">
        <v>28</v>
      </c>
      <c r="Q49" s="27"/>
    </row>
    <row r="50" customFormat="false" ht="15" hidden="false" customHeight="false" outlineLevel="0" collapsed="false">
      <c r="A50" s="22" t="s">
        <v>145</v>
      </c>
      <c r="B50" s="23" t="s">
        <v>31</v>
      </c>
      <c r="C50" s="23" t="n">
        <v>5</v>
      </c>
      <c r="D50" s="23" t="n">
        <v>80</v>
      </c>
      <c r="E50" s="23" t="n">
        <v>85</v>
      </c>
      <c r="F50" s="23" t="s">
        <v>49</v>
      </c>
      <c r="G50" s="23"/>
      <c r="H50" s="24" t="s">
        <v>146</v>
      </c>
      <c r="I50" s="23" t="n">
        <v>10</v>
      </c>
      <c r="J50" s="23" t="n">
        <v>24</v>
      </c>
      <c r="K50" s="23" t="n">
        <v>18</v>
      </c>
      <c r="L50" s="23"/>
      <c r="M50" s="23"/>
      <c r="N50" s="24"/>
      <c r="O50" s="25"/>
      <c r="P50" s="26" t="s">
        <v>28</v>
      </c>
      <c r="Q50" s="27"/>
    </row>
    <row r="51" customFormat="false" ht="15" hidden="false" customHeight="false" outlineLevel="0" collapsed="false">
      <c r="A51" s="22" t="s">
        <v>147</v>
      </c>
      <c r="B51" s="23" t="s">
        <v>31</v>
      </c>
      <c r="C51" s="23" t="n">
        <v>5</v>
      </c>
      <c r="D51" s="23" t="n">
        <v>80</v>
      </c>
      <c r="E51" s="23" t="n">
        <v>85</v>
      </c>
      <c r="F51" s="23" t="s">
        <v>49</v>
      </c>
      <c r="G51" s="23"/>
      <c r="H51" s="24" t="s">
        <v>148</v>
      </c>
      <c r="I51" s="23" t="n">
        <v>12</v>
      </c>
      <c r="J51" s="23" t="n">
        <v>31</v>
      </c>
      <c r="K51" s="23" t="n">
        <v>23</v>
      </c>
      <c r="L51" s="23"/>
      <c r="M51" s="23"/>
      <c r="N51" s="24"/>
      <c r="O51" s="25"/>
      <c r="P51" s="26" t="s">
        <v>28</v>
      </c>
      <c r="Q51" s="27"/>
    </row>
    <row r="52" customFormat="false" ht="15" hidden="false" customHeight="false" outlineLevel="0" collapsed="false">
      <c r="A52" s="28" t="s">
        <v>149</v>
      </c>
      <c r="B52" s="29" t="s">
        <v>32</v>
      </c>
      <c r="C52" s="29" t="n">
        <v>1</v>
      </c>
      <c r="D52" s="29" t="n">
        <v>95</v>
      </c>
      <c r="E52" s="29" t="n">
        <v>88</v>
      </c>
      <c r="F52" s="29" t="s">
        <v>150</v>
      </c>
      <c r="G52" s="29"/>
      <c r="H52" s="30" t="s">
        <v>151</v>
      </c>
      <c r="I52" s="29" t="n">
        <v>2</v>
      </c>
      <c r="J52" s="29" t="n">
        <v>4</v>
      </c>
      <c r="K52" s="29" t="n">
        <v>3</v>
      </c>
      <c r="L52" s="28" t="s">
        <v>152</v>
      </c>
      <c r="M52" s="28" t="s">
        <v>153</v>
      </c>
      <c r="N52" s="30"/>
      <c r="O52" s="31" t="n">
        <v>1</v>
      </c>
      <c r="P52" s="26" t="s">
        <v>28</v>
      </c>
      <c r="Q52" s="27"/>
    </row>
    <row r="53" customFormat="false" ht="15" hidden="false" customHeight="false" outlineLevel="0" collapsed="false">
      <c r="A53" s="28" t="s">
        <v>154</v>
      </c>
      <c r="B53" s="29" t="s">
        <v>32</v>
      </c>
      <c r="C53" s="29" t="n">
        <v>1</v>
      </c>
      <c r="D53" s="29" t="n">
        <v>95</v>
      </c>
      <c r="E53" s="29" t="n">
        <v>88</v>
      </c>
      <c r="F53" s="29" t="s">
        <v>150</v>
      </c>
      <c r="G53" s="29"/>
      <c r="H53" s="30" t="s">
        <v>155</v>
      </c>
      <c r="I53" s="29" t="n">
        <v>2</v>
      </c>
      <c r="J53" s="29" t="n">
        <v>4</v>
      </c>
      <c r="K53" s="29" t="n">
        <v>3</v>
      </c>
      <c r="L53" s="28" t="s">
        <v>152</v>
      </c>
      <c r="M53" s="28" t="s">
        <v>156</v>
      </c>
      <c r="N53" s="30"/>
      <c r="O53" s="31" t="n">
        <v>1</v>
      </c>
      <c r="P53" s="26" t="s">
        <v>28</v>
      </c>
      <c r="Q53" s="27"/>
    </row>
    <row r="54" customFormat="false" ht="15" hidden="false" customHeight="false" outlineLevel="0" collapsed="false">
      <c r="A54" s="28" t="s">
        <v>157</v>
      </c>
      <c r="B54" s="29" t="s">
        <v>32</v>
      </c>
      <c r="C54" s="29" t="n">
        <v>1</v>
      </c>
      <c r="D54" s="29" t="n">
        <v>95</v>
      </c>
      <c r="E54" s="29" t="n">
        <v>88</v>
      </c>
      <c r="F54" s="29" t="s">
        <v>150</v>
      </c>
      <c r="G54" s="29"/>
      <c r="H54" s="30" t="s">
        <v>158</v>
      </c>
      <c r="I54" s="29" t="n">
        <v>2</v>
      </c>
      <c r="J54" s="29" t="n">
        <v>4</v>
      </c>
      <c r="K54" s="29" t="n">
        <v>3</v>
      </c>
      <c r="L54" s="28" t="s">
        <v>159</v>
      </c>
      <c r="M54" s="28" t="s">
        <v>160</v>
      </c>
      <c r="N54" s="30"/>
      <c r="O54" s="31" t="n">
        <v>1</v>
      </c>
      <c r="P54" s="26" t="s">
        <v>28</v>
      </c>
      <c r="Q54" s="27"/>
    </row>
    <row r="55" customFormat="false" ht="15" hidden="false" customHeight="false" outlineLevel="0" collapsed="false">
      <c r="A55" s="28" t="s">
        <v>161</v>
      </c>
      <c r="B55" s="29" t="s">
        <v>32</v>
      </c>
      <c r="C55" s="29" t="n">
        <v>1</v>
      </c>
      <c r="D55" s="29" t="n">
        <v>95</v>
      </c>
      <c r="E55" s="29" t="n">
        <v>88</v>
      </c>
      <c r="F55" s="29" t="s">
        <v>150</v>
      </c>
      <c r="G55" s="29"/>
      <c r="H55" s="30" t="s">
        <v>162</v>
      </c>
      <c r="I55" s="29" t="n">
        <v>2</v>
      </c>
      <c r="J55" s="29" t="n">
        <v>4</v>
      </c>
      <c r="K55" s="29" t="n">
        <v>3</v>
      </c>
      <c r="L55" s="28" t="s">
        <v>152</v>
      </c>
      <c r="M55" s="28" t="s">
        <v>163</v>
      </c>
      <c r="N55" s="30"/>
      <c r="O55" s="31" t="n">
        <v>1</v>
      </c>
      <c r="P55" s="26" t="s">
        <v>28</v>
      </c>
      <c r="Q55" s="27"/>
    </row>
    <row r="56" customFormat="false" ht="15" hidden="false" customHeight="false" outlineLevel="0" collapsed="false">
      <c r="A56" s="28" t="s">
        <v>164</v>
      </c>
      <c r="B56" s="29" t="s">
        <v>32</v>
      </c>
      <c r="C56" s="29" t="n">
        <v>1</v>
      </c>
      <c r="D56" s="29" t="n">
        <v>95</v>
      </c>
      <c r="E56" s="29" t="n">
        <v>88</v>
      </c>
      <c r="F56" s="29" t="s">
        <v>150</v>
      </c>
      <c r="G56" s="29"/>
      <c r="H56" s="30" t="s">
        <v>165</v>
      </c>
      <c r="I56" s="29" t="n">
        <v>2</v>
      </c>
      <c r="J56" s="29" t="n">
        <v>5</v>
      </c>
      <c r="K56" s="29" t="n">
        <v>3</v>
      </c>
      <c r="L56" s="28" t="s">
        <v>166</v>
      </c>
      <c r="M56" s="28" t="s">
        <v>167</v>
      </c>
      <c r="N56" s="30"/>
      <c r="O56" s="31" t="n">
        <v>1</v>
      </c>
      <c r="P56" s="26" t="s">
        <v>28</v>
      </c>
      <c r="Q56" s="27"/>
    </row>
    <row r="57" customFormat="false" ht="15" hidden="false" customHeight="false" outlineLevel="0" collapsed="false">
      <c r="A57" s="28" t="s">
        <v>168</v>
      </c>
      <c r="B57" s="29" t="s">
        <v>32</v>
      </c>
      <c r="C57" s="29" t="n">
        <v>1</v>
      </c>
      <c r="D57" s="29" t="n">
        <v>95</v>
      </c>
      <c r="E57" s="29" t="n">
        <v>88</v>
      </c>
      <c r="F57" s="29" t="s">
        <v>150</v>
      </c>
      <c r="G57" s="29"/>
      <c r="H57" s="30" t="s">
        <v>169</v>
      </c>
      <c r="I57" s="29" t="n">
        <v>2</v>
      </c>
      <c r="J57" s="29" t="n">
        <v>5</v>
      </c>
      <c r="K57" s="29" t="n">
        <v>3</v>
      </c>
      <c r="L57" s="28" t="s">
        <v>152</v>
      </c>
      <c r="M57" s="28" t="s">
        <v>170</v>
      </c>
      <c r="N57" s="30"/>
      <c r="O57" s="31" t="n">
        <v>1</v>
      </c>
      <c r="P57" s="26" t="s">
        <v>28</v>
      </c>
      <c r="Q57" s="27"/>
    </row>
    <row r="58" customFormat="false" ht="15" hidden="false" customHeight="false" outlineLevel="0" collapsed="false">
      <c r="A58" s="28" t="s">
        <v>171</v>
      </c>
      <c r="B58" s="29" t="s">
        <v>32</v>
      </c>
      <c r="C58" s="29" t="n">
        <v>1</v>
      </c>
      <c r="D58" s="29" t="n">
        <v>95</v>
      </c>
      <c r="E58" s="29" t="n">
        <v>88</v>
      </c>
      <c r="F58" s="29" t="s">
        <v>150</v>
      </c>
      <c r="G58" s="29"/>
      <c r="H58" s="30" t="s">
        <v>172</v>
      </c>
      <c r="I58" s="29" t="n">
        <v>2</v>
      </c>
      <c r="J58" s="29" t="n">
        <v>5</v>
      </c>
      <c r="K58" s="29" t="n">
        <v>3</v>
      </c>
      <c r="L58" s="28" t="s">
        <v>159</v>
      </c>
      <c r="M58" s="28" t="s">
        <v>173</v>
      </c>
      <c r="N58" s="30"/>
      <c r="O58" s="31" t="n">
        <v>1</v>
      </c>
      <c r="P58" s="26" t="s">
        <v>28</v>
      </c>
      <c r="Q58" s="27"/>
    </row>
    <row r="59" customFormat="false" ht="15" hidden="false" customHeight="false" outlineLevel="0" collapsed="false">
      <c r="A59" s="28" t="s">
        <v>174</v>
      </c>
      <c r="B59" s="29" t="s">
        <v>32</v>
      </c>
      <c r="C59" s="29" t="n">
        <v>1</v>
      </c>
      <c r="D59" s="29" t="n">
        <v>95</v>
      </c>
      <c r="E59" s="29" t="n">
        <v>88</v>
      </c>
      <c r="F59" s="29" t="s">
        <v>150</v>
      </c>
      <c r="G59" s="29"/>
      <c r="H59" s="30" t="s">
        <v>175</v>
      </c>
      <c r="I59" s="29" t="n">
        <v>2</v>
      </c>
      <c r="J59" s="29" t="n">
        <v>5</v>
      </c>
      <c r="K59" s="29" t="n">
        <v>3</v>
      </c>
      <c r="L59" s="28" t="s">
        <v>159</v>
      </c>
      <c r="M59" s="28" t="s">
        <v>176</v>
      </c>
      <c r="N59" s="30"/>
      <c r="O59" s="31" t="n">
        <v>1</v>
      </c>
      <c r="P59" s="26" t="s">
        <v>28</v>
      </c>
      <c r="Q59" s="27"/>
    </row>
    <row r="60" customFormat="false" ht="15" hidden="false" customHeight="false" outlineLevel="0" collapsed="false">
      <c r="A60" s="28" t="s">
        <v>177</v>
      </c>
      <c r="B60" s="29" t="s">
        <v>32</v>
      </c>
      <c r="C60" s="29" t="n">
        <v>1</v>
      </c>
      <c r="D60" s="29" t="n">
        <v>95</v>
      </c>
      <c r="E60" s="29" t="n">
        <v>88</v>
      </c>
      <c r="F60" s="29" t="s">
        <v>150</v>
      </c>
      <c r="G60" s="29"/>
      <c r="H60" s="30" t="s">
        <v>178</v>
      </c>
      <c r="I60" s="29" t="n">
        <v>2</v>
      </c>
      <c r="J60" s="29" t="n">
        <v>5</v>
      </c>
      <c r="K60" s="29" t="n">
        <v>3</v>
      </c>
      <c r="L60" s="28" t="s">
        <v>179</v>
      </c>
      <c r="M60" s="28" t="s">
        <v>180</v>
      </c>
      <c r="N60" s="30"/>
      <c r="O60" s="31" t="n">
        <v>1</v>
      </c>
      <c r="P60" s="26" t="s">
        <v>28</v>
      </c>
      <c r="Q60" s="27"/>
    </row>
    <row r="61" customFormat="false" ht="15" hidden="false" customHeight="false" outlineLevel="0" collapsed="false">
      <c r="A61" s="28" t="s">
        <v>181</v>
      </c>
      <c r="B61" s="29" t="s">
        <v>32</v>
      </c>
      <c r="C61" s="29" t="n">
        <v>1</v>
      </c>
      <c r="D61" s="29" t="n">
        <v>95</v>
      </c>
      <c r="E61" s="29" t="n">
        <v>88</v>
      </c>
      <c r="F61" s="29" t="s">
        <v>150</v>
      </c>
      <c r="G61" s="29"/>
      <c r="H61" s="30" t="s">
        <v>182</v>
      </c>
      <c r="I61" s="29" t="n">
        <v>2</v>
      </c>
      <c r="J61" s="29" t="n">
        <v>5</v>
      </c>
      <c r="K61" s="29" t="n">
        <v>3</v>
      </c>
      <c r="L61" s="28" t="s">
        <v>179</v>
      </c>
      <c r="M61" s="28" t="s">
        <v>183</v>
      </c>
      <c r="N61" s="30"/>
      <c r="O61" s="31" t="n">
        <v>1</v>
      </c>
      <c r="P61" s="26" t="s">
        <v>28</v>
      </c>
      <c r="Q61" s="27"/>
    </row>
    <row r="62" customFormat="false" ht="15" hidden="false" customHeight="false" outlineLevel="0" collapsed="false">
      <c r="A62" s="28" t="s">
        <v>184</v>
      </c>
      <c r="B62" s="29" t="s">
        <v>32</v>
      </c>
      <c r="C62" s="29" t="n">
        <v>1</v>
      </c>
      <c r="D62" s="29" t="n">
        <v>95</v>
      </c>
      <c r="E62" s="29" t="n">
        <v>88</v>
      </c>
      <c r="F62" s="29" t="s">
        <v>150</v>
      </c>
      <c r="G62" s="29"/>
      <c r="H62" s="30" t="s">
        <v>185</v>
      </c>
      <c r="I62" s="29" t="n">
        <v>2</v>
      </c>
      <c r="J62" s="29" t="n">
        <v>5</v>
      </c>
      <c r="K62" s="29" t="n">
        <v>3</v>
      </c>
      <c r="L62" s="28" t="s">
        <v>186</v>
      </c>
      <c r="M62" s="28" t="s">
        <v>187</v>
      </c>
      <c r="N62" s="30"/>
      <c r="O62" s="31" t="n">
        <v>1</v>
      </c>
      <c r="P62" s="26" t="s">
        <v>28</v>
      </c>
      <c r="Q62" s="27"/>
    </row>
    <row r="63" customFormat="false" ht="15" hidden="false" customHeight="false" outlineLevel="0" collapsed="false">
      <c r="A63" s="28" t="s">
        <v>188</v>
      </c>
      <c r="B63" s="29" t="s">
        <v>32</v>
      </c>
      <c r="C63" s="29" t="n">
        <v>1</v>
      </c>
      <c r="D63" s="29" t="n">
        <v>95</v>
      </c>
      <c r="E63" s="29" t="n">
        <v>88</v>
      </c>
      <c r="F63" s="29" t="s">
        <v>150</v>
      </c>
      <c r="G63" s="29"/>
      <c r="H63" s="30" t="s">
        <v>189</v>
      </c>
      <c r="I63" s="29" t="n">
        <v>2</v>
      </c>
      <c r="J63" s="29" t="n">
        <v>5</v>
      </c>
      <c r="K63" s="29" t="n">
        <v>3</v>
      </c>
      <c r="L63" s="28" t="s">
        <v>152</v>
      </c>
      <c r="M63" s="28" t="s">
        <v>190</v>
      </c>
      <c r="N63" s="30"/>
      <c r="O63" s="31" t="n">
        <v>1</v>
      </c>
      <c r="P63" s="26" t="s">
        <v>28</v>
      </c>
      <c r="Q63" s="27"/>
    </row>
    <row r="64" customFormat="false" ht="15" hidden="false" customHeight="false" outlineLevel="0" collapsed="false">
      <c r="A64" s="28" t="s">
        <v>191</v>
      </c>
      <c r="B64" s="29" t="s">
        <v>32</v>
      </c>
      <c r="C64" s="29" t="n">
        <v>1</v>
      </c>
      <c r="D64" s="29" t="n">
        <v>95</v>
      </c>
      <c r="E64" s="29" t="n">
        <v>88</v>
      </c>
      <c r="F64" s="29" t="s">
        <v>150</v>
      </c>
      <c r="G64" s="29"/>
      <c r="H64" s="30" t="s">
        <v>192</v>
      </c>
      <c r="I64" s="29" t="n">
        <v>2</v>
      </c>
      <c r="J64" s="29" t="n">
        <v>5</v>
      </c>
      <c r="K64" s="29" t="n">
        <v>3</v>
      </c>
      <c r="L64" s="28" t="s">
        <v>152</v>
      </c>
      <c r="M64" s="28" t="s">
        <v>153</v>
      </c>
      <c r="N64" s="30"/>
      <c r="O64" s="31" t="n">
        <v>1</v>
      </c>
      <c r="P64" s="26" t="s">
        <v>28</v>
      </c>
      <c r="Q64" s="27"/>
    </row>
    <row r="65" customFormat="false" ht="15" hidden="false" customHeight="false" outlineLevel="0" collapsed="false">
      <c r="A65" s="28" t="s">
        <v>193</v>
      </c>
      <c r="B65" s="29" t="s">
        <v>32</v>
      </c>
      <c r="C65" s="29" t="n">
        <v>1</v>
      </c>
      <c r="D65" s="29" t="n">
        <v>95</v>
      </c>
      <c r="E65" s="29" t="n">
        <v>88</v>
      </c>
      <c r="F65" s="29" t="s">
        <v>150</v>
      </c>
      <c r="G65" s="29"/>
      <c r="H65" s="30" t="s">
        <v>194</v>
      </c>
      <c r="I65" s="29" t="n">
        <v>2</v>
      </c>
      <c r="J65" s="29" t="n">
        <v>5</v>
      </c>
      <c r="K65" s="29" t="n">
        <v>3</v>
      </c>
      <c r="L65" s="28" t="s">
        <v>166</v>
      </c>
      <c r="M65" s="28" t="s">
        <v>195</v>
      </c>
      <c r="N65" s="30"/>
      <c r="O65" s="31" t="n">
        <v>1</v>
      </c>
      <c r="P65" s="26" t="s">
        <v>28</v>
      </c>
      <c r="Q65" s="27"/>
    </row>
    <row r="66" customFormat="false" ht="15" hidden="false" customHeight="false" outlineLevel="0" collapsed="false">
      <c r="A66" s="28" t="s">
        <v>196</v>
      </c>
      <c r="B66" s="29" t="s">
        <v>32</v>
      </c>
      <c r="C66" s="29" t="n">
        <v>1</v>
      </c>
      <c r="D66" s="29" t="n">
        <v>95</v>
      </c>
      <c r="E66" s="29" t="n">
        <v>88</v>
      </c>
      <c r="F66" s="29" t="s">
        <v>150</v>
      </c>
      <c r="G66" s="29"/>
      <c r="H66" s="30" t="s">
        <v>197</v>
      </c>
      <c r="I66" s="29" t="n">
        <v>3</v>
      </c>
      <c r="J66" s="29" t="n">
        <v>6</v>
      </c>
      <c r="K66" s="29" t="n">
        <v>4</v>
      </c>
      <c r="L66" s="28" t="s">
        <v>166</v>
      </c>
      <c r="M66" s="28" t="s">
        <v>198</v>
      </c>
      <c r="N66" s="30"/>
      <c r="O66" s="31" t="n">
        <v>1</v>
      </c>
      <c r="P66" s="26" t="s">
        <v>28</v>
      </c>
      <c r="Q66" s="27"/>
    </row>
    <row r="67" customFormat="false" ht="15" hidden="false" customHeight="false" outlineLevel="0" collapsed="false">
      <c r="A67" s="28" t="s">
        <v>199</v>
      </c>
      <c r="B67" s="29" t="s">
        <v>32</v>
      </c>
      <c r="C67" s="29" t="n">
        <v>1</v>
      </c>
      <c r="D67" s="29" t="n">
        <v>95</v>
      </c>
      <c r="E67" s="29" t="n">
        <v>88</v>
      </c>
      <c r="F67" s="29" t="s">
        <v>150</v>
      </c>
      <c r="G67" s="29"/>
      <c r="H67" s="30" t="s">
        <v>200</v>
      </c>
      <c r="I67" s="29" t="n">
        <v>3</v>
      </c>
      <c r="J67" s="29" t="n">
        <v>6</v>
      </c>
      <c r="K67" s="29" t="n">
        <v>4</v>
      </c>
      <c r="L67" s="28" t="s">
        <v>166</v>
      </c>
      <c r="M67" s="28" t="s">
        <v>198</v>
      </c>
      <c r="N67" s="30"/>
      <c r="O67" s="31" t="n">
        <v>1</v>
      </c>
      <c r="P67" s="26" t="s">
        <v>28</v>
      </c>
      <c r="Q67" s="27"/>
    </row>
    <row r="68" customFormat="false" ht="15" hidden="false" customHeight="false" outlineLevel="0" collapsed="false">
      <c r="A68" s="28" t="s">
        <v>201</v>
      </c>
      <c r="B68" s="29" t="s">
        <v>32</v>
      </c>
      <c r="C68" s="29" t="n">
        <v>1</v>
      </c>
      <c r="D68" s="29" t="n">
        <v>95</v>
      </c>
      <c r="E68" s="29" t="n">
        <v>88</v>
      </c>
      <c r="F68" s="29" t="s">
        <v>150</v>
      </c>
      <c r="G68" s="29"/>
      <c r="H68" s="30" t="s">
        <v>202</v>
      </c>
      <c r="I68" s="29" t="n">
        <v>3</v>
      </c>
      <c r="J68" s="29" t="n">
        <v>6</v>
      </c>
      <c r="K68" s="29" t="n">
        <v>4</v>
      </c>
      <c r="L68" s="28" t="s">
        <v>152</v>
      </c>
      <c r="M68" s="28" t="s">
        <v>170</v>
      </c>
      <c r="N68" s="30"/>
      <c r="O68" s="31" t="n">
        <v>1</v>
      </c>
      <c r="P68" s="26" t="s">
        <v>28</v>
      </c>
      <c r="Q68" s="27"/>
    </row>
    <row r="69" customFormat="false" ht="15" hidden="false" customHeight="false" outlineLevel="0" collapsed="false">
      <c r="A69" s="28" t="s">
        <v>203</v>
      </c>
      <c r="B69" s="29" t="s">
        <v>32</v>
      </c>
      <c r="C69" s="29" t="n">
        <v>1</v>
      </c>
      <c r="D69" s="29" t="n">
        <v>95</v>
      </c>
      <c r="E69" s="29" t="n">
        <v>88</v>
      </c>
      <c r="F69" s="29" t="s">
        <v>150</v>
      </c>
      <c r="G69" s="29"/>
      <c r="H69" s="30" t="s">
        <v>204</v>
      </c>
      <c r="I69" s="29" t="n">
        <v>2</v>
      </c>
      <c r="J69" s="29" t="n">
        <v>6</v>
      </c>
      <c r="K69" s="29" t="n">
        <v>4</v>
      </c>
      <c r="L69" s="28" t="s">
        <v>159</v>
      </c>
      <c r="M69" s="28" t="s">
        <v>173</v>
      </c>
      <c r="N69" s="30"/>
      <c r="O69" s="31" t="n">
        <v>1</v>
      </c>
      <c r="P69" s="26" t="s">
        <v>28</v>
      </c>
      <c r="Q69" s="27"/>
    </row>
    <row r="70" customFormat="false" ht="15" hidden="false" customHeight="false" outlineLevel="0" collapsed="false">
      <c r="A70" s="28" t="s">
        <v>205</v>
      </c>
      <c r="B70" s="29" t="s">
        <v>32</v>
      </c>
      <c r="C70" s="29" t="n">
        <v>1</v>
      </c>
      <c r="D70" s="29" t="n">
        <v>95</v>
      </c>
      <c r="E70" s="29" t="n">
        <v>88</v>
      </c>
      <c r="F70" s="29" t="s">
        <v>150</v>
      </c>
      <c r="G70" s="29"/>
      <c r="H70" s="30" t="s">
        <v>206</v>
      </c>
      <c r="I70" s="29" t="n">
        <v>3</v>
      </c>
      <c r="J70" s="29" t="n">
        <v>6</v>
      </c>
      <c r="K70" s="29" t="n">
        <v>4</v>
      </c>
      <c r="L70" s="28" t="s">
        <v>179</v>
      </c>
      <c r="M70" s="28" t="s">
        <v>207</v>
      </c>
      <c r="N70" s="30"/>
      <c r="O70" s="31" t="n">
        <v>1</v>
      </c>
      <c r="P70" s="26" t="s">
        <v>28</v>
      </c>
      <c r="Q70" s="27"/>
    </row>
    <row r="71" customFormat="false" ht="15" hidden="false" customHeight="false" outlineLevel="0" collapsed="false">
      <c r="A71" s="28" t="s">
        <v>208</v>
      </c>
      <c r="B71" s="29" t="s">
        <v>32</v>
      </c>
      <c r="C71" s="29" t="n">
        <v>1</v>
      </c>
      <c r="D71" s="29" t="n">
        <v>95</v>
      </c>
      <c r="E71" s="29" t="n">
        <v>88</v>
      </c>
      <c r="F71" s="29" t="s">
        <v>150</v>
      </c>
      <c r="G71" s="29"/>
      <c r="H71" s="30" t="s">
        <v>209</v>
      </c>
      <c r="I71" s="29" t="n">
        <v>2</v>
      </c>
      <c r="J71" s="29" t="n">
        <v>6</v>
      </c>
      <c r="K71" s="29" t="n">
        <v>4</v>
      </c>
      <c r="L71" s="28" t="s">
        <v>152</v>
      </c>
      <c r="M71" s="28" t="s">
        <v>210</v>
      </c>
      <c r="N71" s="30"/>
      <c r="O71" s="31" t="n">
        <v>1</v>
      </c>
      <c r="P71" s="26" t="s">
        <v>28</v>
      </c>
      <c r="Q71" s="27"/>
    </row>
    <row r="72" customFormat="false" ht="15" hidden="false" customHeight="false" outlineLevel="0" collapsed="false">
      <c r="A72" s="28" t="s">
        <v>211</v>
      </c>
      <c r="B72" s="29" t="s">
        <v>32</v>
      </c>
      <c r="C72" s="29" t="n">
        <v>1</v>
      </c>
      <c r="D72" s="29" t="n">
        <v>95</v>
      </c>
      <c r="E72" s="29" t="n">
        <v>88</v>
      </c>
      <c r="F72" s="29" t="s">
        <v>150</v>
      </c>
      <c r="G72" s="29"/>
      <c r="H72" s="30" t="s">
        <v>212</v>
      </c>
      <c r="I72" s="29" t="n">
        <v>2</v>
      </c>
      <c r="J72" s="29" t="n">
        <v>6</v>
      </c>
      <c r="K72" s="29" t="n">
        <v>4</v>
      </c>
      <c r="L72" s="28" t="s">
        <v>152</v>
      </c>
      <c r="M72" s="28" t="s">
        <v>170</v>
      </c>
      <c r="N72" s="30"/>
      <c r="O72" s="31" t="n">
        <v>1</v>
      </c>
      <c r="P72" s="26" t="s">
        <v>28</v>
      </c>
      <c r="Q72" s="27"/>
    </row>
    <row r="73" customFormat="false" ht="15" hidden="false" customHeight="false" outlineLevel="0" collapsed="false">
      <c r="A73" s="28" t="s">
        <v>213</v>
      </c>
      <c r="B73" s="29" t="s">
        <v>32</v>
      </c>
      <c r="C73" s="29" t="n">
        <v>1</v>
      </c>
      <c r="D73" s="29" t="n">
        <v>95</v>
      </c>
      <c r="E73" s="29" t="n">
        <v>88</v>
      </c>
      <c r="F73" s="29" t="s">
        <v>150</v>
      </c>
      <c r="G73" s="29"/>
      <c r="H73" s="30" t="s">
        <v>214</v>
      </c>
      <c r="I73" s="29" t="n">
        <v>2</v>
      </c>
      <c r="J73" s="29" t="n">
        <v>6</v>
      </c>
      <c r="K73" s="29" t="n">
        <v>4</v>
      </c>
      <c r="L73" s="28" t="s">
        <v>179</v>
      </c>
      <c r="M73" s="28" t="s">
        <v>180</v>
      </c>
      <c r="N73" s="30"/>
      <c r="O73" s="31" t="n">
        <v>1</v>
      </c>
      <c r="P73" s="26" t="s">
        <v>28</v>
      </c>
      <c r="Q73" s="27"/>
    </row>
    <row r="74" customFormat="false" ht="15" hidden="false" customHeight="false" outlineLevel="0" collapsed="false">
      <c r="A74" s="28" t="s">
        <v>215</v>
      </c>
      <c r="B74" s="29" t="s">
        <v>32</v>
      </c>
      <c r="C74" s="29" t="n">
        <v>1</v>
      </c>
      <c r="D74" s="29" t="n">
        <v>95</v>
      </c>
      <c r="E74" s="29" t="n">
        <v>88</v>
      </c>
      <c r="F74" s="29" t="s">
        <v>150</v>
      </c>
      <c r="G74" s="29"/>
      <c r="H74" s="30" t="s">
        <v>216</v>
      </c>
      <c r="I74" s="29" t="n">
        <v>2</v>
      </c>
      <c r="J74" s="29" t="n">
        <v>6</v>
      </c>
      <c r="K74" s="29" t="n">
        <v>4</v>
      </c>
      <c r="L74" s="28" t="s">
        <v>186</v>
      </c>
      <c r="M74" s="28" t="s">
        <v>217</v>
      </c>
      <c r="N74" s="30"/>
      <c r="O74" s="31" t="n">
        <v>1</v>
      </c>
      <c r="P74" s="26" t="s">
        <v>28</v>
      </c>
      <c r="Q74" s="27"/>
    </row>
    <row r="75" customFormat="false" ht="15" hidden="false" customHeight="false" outlineLevel="0" collapsed="false">
      <c r="A75" s="28" t="s">
        <v>218</v>
      </c>
      <c r="B75" s="29" t="s">
        <v>32</v>
      </c>
      <c r="C75" s="29" t="n">
        <v>1</v>
      </c>
      <c r="D75" s="29" t="n">
        <v>95</v>
      </c>
      <c r="E75" s="29" t="n">
        <v>88</v>
      </c>
      <c r="F75" s="29" t="s">
        <v>150</v>
      </c>
      <c r="G75" s="29"/>
      <c r="H75" s="30" t="s">
        <v>219</v>
      </c>
      <c r="I75" s="29" t="n">
        <v>2</v>
      </c>
      <c r="J75" s="29" t="n">
        <v>6</v>
      </c>
      <c r="K75" s="29" t="n">
        <v>4</v>
      </c>
      <c r="L75" s="28" t="s">
        <v>186</v>
      </c>
      <c r="M75" s="28" t="s">
        <v>220</v>
      </c>
      <c r="N75" s="30"/>
      <c r="O75" s="31" t="n">
        <v>1</v>
      </c>
      <c r="P75" s="26" t="s">
        <v>28</v>
      </c>
      <c r="Q75" s="27"/>
    </row>
    <row r="76" customFormat="false" ht="15" hidden="false" customHeight="false" outlineLevel="0" collapsed="false">
      <c r="A76" s="28" t="s">
        <v>221</v>
      </c>
      <c r="B76" s="29" t="s">
        <v>32</v>
      </c>
      <c r="C76" s="29" t="n">
        <v>1</v>
      </c>
      <c r="D76" s="29" t="n">
        <v>95</v>
      </c>
      <c r="E76" s="29" t="n">
        <v>88</v>
      </c>
      <c r="F76" s="29" t="s">
        <v>150</v>
      </c>
      <c r="G76" s="29"/>
      <c r="H76" s="30" t="s">
        <v>222</v>
      </c>
      <c r="I76" s="29" t="n">
        <v>3</v>
      </c>
      <c r="J76" s="29" t="n">
        <v>6</v>
      </c>
      <c r="K76" s="29" t="n">
        <v>4</v>
      </c>
      <c r="L76" s="28" t="s">
        <v>152</v>
      </c>
      <c r="M76" s="28" t="s">
        <v>210</v>
      </c>
      <c r="N76" s="30"/>
      <c r="O76" s="31" t="n">
        <v>1</v>
      </c>
      <c r="P76" s="26" t="s">
        <v>28</v>
      </c>
      <c r="Q76" s="27"/>
    </row>
    <row r="77" customFormat="false" ht="15" hidden="false" customHeight="false" outlineLevel="0" collapsed="false">
      <c r="A77" s="28" t="s">
        <v>223</v>
      </c>
      <c r="B77" s="29" t="s">
        <v>32</v>
      </c>
      <c r="C77" s="29" t="n">
        <v>1</v>
      </c>
      <c r="D77" s="29" t="n">
        <v>95</v>
      </c>
      <c r="E77" s="29" t="n">
        <v>88</v>
      </c>
      <c r="F77" s="29" t="s">
        <v>150</v>
      </c>
      <c r="G77" s="29"/>
      <c r="H77" s="30" t="s">
        <v>224</v>
      </c>
      <c r="I77" s="29" t="n">
        <v>2</v>
      </c>
      <c r="J77" s="29" t="n">
        <v>6</v>
      </c>
      <c r="K77" s="29" t="n">
        <v>4</v>
      </c>
      <c r="L77" s="28" t="s">
        <v>152</v>
      </c>
      <c r="M77" s="28" t="s">
        <v>225</v>
      </c>
      <c r="N77" s="30"/>
      <c r="O77" s="31" t="n">
        <v>1</v>
      </c>
      <c r="P77" s="26" t="s">
        <v>28</v>
      </c>
      <c r="Q77" s="27"/>
    </row>
    <row r="78" customFormat="false" ht="15" hidden="false" customHeight="false" outlineLevel="0" collapsed="false">
      <c r="A78" s="28" t="s">
        <v>226</v>
      </c>
      <c r="B78" s="29" t="s">
        <v>32</v>
      </c>
      <c r="C78" s="29" t="n">
        <v>1</v>
      </c>
      <c r="D78" s="29" t="n">
        <v>95</v>
      </c>
      <c r="E78" s="29" t="n">
        <v>88</v>
      </c>
      <c r="F78" s="29" t="s">
        <v>150</v>
      </c>
      <c r="G78" s="29"/>
      <c r="H78" s="30" t="s">
        <v>227</v>
      </c>
      <c r="I78" s="29" t="n">
        <v>2</v>
      </c>
      <c r="J78" s="29" t="n">
        <v>6</v>
      </c>
      <c r="K78" s="29" t="n">
        <v>4</v>
      </c>
      <c r="L78" s="28" t="s">
        <v>152</v>
      </c>
      <c r="M78" s="28" t="s">
        <v>170</v>
      </c>
      <c r="N78" s="30"/>
      <c r="O78" s="31" t="n">
        <v>1</v>
      </c>
      <c r="P78" s="26" t="s">
        <v>28</v>
      </c>
      <c r="Q78" s="27"/>
    </row>
    <row r="79" customFormat="false" ht="15" hidden="false" customHeight="false" outlineLevel="0" collapsed="false">
      <c r="A79" s="28" t="s">
        <v>228</v>
      </c>
      <c r="B79" s="29" t="s">
        <v>32</v>
      </c>
      <c r="C79" s="29" t="n">
        <v>1</v>
      </c>
      <c r="D79" s="29" t="n">
        <v>95</v>
      </c>
      <c r="E79" s="29" t="n">
        <v>88</v>
      </c>
      <c r="F79" s="29" t="s">
        <v>150</v>
      </c>
      <c r="G79" s="29"/>
      <c r="H79" s="30" t="s">
        <v>229</v>
      </c>
      <c r="I79" s="29" t="n">
        <v>3</v>
      </c>
      <c r="J79" s="29" t="n">
        <v>7</v>
      </c>
      <c r="K79" s="29" t="n">
        <v>4</v>
      </c>
      <c r="L79" s="28" t="s">
        <v>152</v>
      </c>
      <c r="M79" s="28" t="s">
        <v>230</v>
      </c>
      <c r="N79" s="30"/>
      <c r="O79" s="31" t="n">
        <v>1</v>
      </c>
      <c r="P79" s="26" t="s">
        <v>28</v>
      </c>
      <c r="Q79" s="27"/>
    </row>
    <row r="80" customFormat="false" ht="15" hidden="false" customHeight="false" outlineLevel="0" collapsed="false">
      <c r="A80" s="28" t="s">
        <v>231</v>
      </c>
      <c r="B80" s="29" t="s">
        <v>32</v>
      </c>
      <c r="C80" s="29" t="n">
        <v>1</v>
      </c>
      <c r="D80" s="29" t="n">
        <v>95</v>
      </c>
      <c r="E80" s="29" t="n">
        <v>88</v>
      </c>
      <c r="F80" s="29" t="s">
        <v>150</v>
      </c>
      <c r="G80" s="29"/>
      <c r="H80" s="30" t="s">
        <v>232</v>
      </c>
      <c r="I80" s="29" t="n">
        <v>3</v>
      </c>
      <c r="J80" s="29" t="n">
        <v>7</v>
      </c>
      <c r="K80" s="29" t="n">
        <v>4</v>
      </c>
      <c r="L80" s="28" t="s">
        <v>152</v>
      </c>
      <c r="M80" s="28" t="s">
        <v>233</v>
      </c>
      <c r="N80" s="30"/>
      <c r="O80" s="31" t="n">
        <v>1</v>
      </c>
      <c r="P80" s="26" t="s">
        <v>28</v>
      </c>
      <c r="Q80" s="27"/>
    </row>
    <row r="81" customFormat="false" ht="15" hidden="false" customHeight="false" outlineLevel="0" collapsed="false">
      <c r="A81" s="28" t="s">
        <v>234</v>
      </c>
      <c r="B81" s="29" t="s">
        <v>32</v>
      </c>
      <c r="C81" s="29" t="n">
        <v>1</v>
      </c>
      <c r="D81" s="29" t="n">
        <v>95</v>
      </c>
      <c r="E81" s="29" t="n">
        <v>88</v>
      </c>
      <c r="F81" s="29" t="s">
        <v>150</v>
      </c>
      <c r="G81" s="29"/>
      <c r="H81" s="30" t="s">
        <v>235</v>
      </c>
      <c r="I81" s="29" t="n">
        <v>3</v>
      </c>
      <c r="J81" s="29" t="n">
        <v>7</v>
      </c>
      <c r="K81" s="29" t="n">
        <v>4</v>
      </c>
      <c r="L81" s="28" t="s">
        <v>152</v>
      </c>
      <c r="M81" s="28" t="s">
        <v>230</v>
      </c>
      <c r="N81" s="30"/>
      <c r="O81" s="31" t="n">
        <v>1</v>
      </c>
      <c r="P81" s="26" t="s">
        <v>28</v>
      </c>
      <c r="Q81" s="27"/>
    </row>
    <row r="82" customFormat="false" ht="15" hidden="false" customHeight="false" outlineLevel="0" collapsed="false">
      <c r="A82" s="28" t="s">
        <v>236</v>
      </c>
      <c r="B82" s="29" t="s">
        <v>32</v>
      </c>
      <c r="C82" s="29" t="n">
        <v>2</v>
      </c>
      <c r="D82" s="29" t="n">
        <v>106</v>
      </c>
      <c r="E82" s="29" t="n">
        <v>88</v>
      </c>
      <c r="F82" s="29" t="s">
        <v>150</v>
      </c>
      <c r="G82" s="29"/>
      <c r="H82" s="30" t="s">
        <v>237</v>
      </c>
      <c r="I82" s="29" t="n">
        <v>3</v>
      </c>
      <c r="J82" s="29" t="n">
        <v>7</v>
      </c>
      <c r="K82" s="29" t="n">
        <v>4</v>
      </c>
      <c r="L82" s="28" t="s">
        <v>159</v>
      </c>
      <c r="M82" s="28" t="s">
        <v>238</v>
      </c>
      <c r="N82" s="30"/>
      <c r="O82" s="31" t="n">
        <v>1</v>
      </c>
      <c r="P82" s="26" t="s">
        <v>28</v>
      </c>
      <c r="Q82" s="27"/>
    </row>
    <row r="83" customFormat="false" ht="15" hidden="false" customHeight="false" outlineLevel="0" collapsed="false">
      <c r="A83" s="28" t="s">
        <v>239</v>
      </c>
      <c r="B83" s="29" t="s">
        <v>32</v>
      </c>
      <c r="C83" s="29" t="n">
        <v>2</v>
      </c>
      <c r="D83" s="29" t="n">
        <v>106</v>
      </c>
      <c r="E83" s="29" t="n">
        <v>88</v>
      </c>
      <c r="F83" s="29" t="s">
        <v>150</v>
      </c>
      <c r="G83" s="29"/>
      <c r="H83" s="30" t="s">
        <v>240</v>
      </c>
      <c r="I83" s="29" t="n">
        <v>3</v>
      </c>
      <c r="J83" s="29" t="n">
        <v>7</v>
      </c>
      <c r="K83" s="29" t="n">
        <v>4</v>
      </c>
      <c r="L83" s="28" t="s">
        <v>159</v>
      </c>
      <c r="M83" s="28" t="s">
        <v>173</v>
      </c>
      <c r="N83" s="30"/>
      <c r="O83" s="31" t="n">
        <v>1</v>
      </c>
      <c r="P83" s="26" t="s">
        <v>28</v>
      </c>
      <c r="Q83" s="27"/>
    </row>
    <row r="84" customFormat="false" ht="15" hidden="false" customHeight="false" outlineLevel="0" collapsed="false">
      <c r="A84" s="28" t="s">
        <v>241</v>
      </c>
      <c r="B84" s="29" t="s">
        <v>32</v>
      </c>
      <c r="C84" s="29" t="n">
        <v>2</v>
      </c>
      <c r="D84" s="29" t="n">
        <v>106</v>
      </c>
      <c r="E84" s="29" t="n">
        <v>88</v>
      </c>
      <c r="F84" s="29" t="s">
        <v>150</v>
      </c>
      <c r="G84" s="29"/>
      <c r="H84" s="30" t="s">
        <v>242</v>
      </c>
      <c r="I84" s="29" t="n">
        <v>3</v>
      </c>
      <c r="J84" s="29" t="n">
        <v>7</v>
      </c>
      <c r="K84" s="29" t="n">
        <v>4</v>
      </c>
      <c r="L84" s="28" t="s">
        <v>159</v>
      </c>
      <c r="M84" s="28" t="s">
        <v>173</v>
      </c>
      <c r="N84" s="30"/>
      <c r="O84" s="31" t="n">
        <v>1</v>
      </c>
      <c r="P84" s="26" t="s">
        <v>28</v>
      </c>
      <c r="Q84" s="27"/>
    </row>
    <row r="85" customFormat="false" ht="15" hidden="false" customHeight="false" outlineLevel="0" collapsed="false">
      <c r="A85" s="28" t="s">
        <v>243</v>
      </c>
      <c r="B85" s="29" t="s">
        <v>32</v>
      </c>
      <c r="C85" s="29" t="n">
        <v>2</v>
      </c>
      <c r="D85" s="29" t="n">
        <v>106</v>
      </c>
      <c r="E85" s="29" t="n">
        <v>88</v>
      </c>
      <c r="F85" s="29" t="s">
        <v>150</v>
      </c>
      <c r="G85" s="29"/>
      <c r="H85" s="30" t="s">
        <v>244</v>
      </c>
      <c r="I85" s="29" t="n">
        <v>3</v>
      </c>
      <c r="J85" s="29" t="n">
        <v>7</v>
      </c>
      <c r="K85" s="29" t="n">
        <v>4</v>
      </c>
      <c r="L85" s="28" t="s">
        <v>179</v>
      </c>
      <c r="M85" s="28" t="s">
        <v>245</v>
      </c>
      <c r="N85" s="30"/>
      <c r="O85" s="31" t="n">
        <v>1</v>
      </c>
      <c r="P85" s="26" t="s">
        <v>28</v>
      </c>
      <c r="Q85" s="27"/>
    </row>
    <row r="86" customFormat="false" ht="15" hidden="false" customHeight="false" outlineLevel="0" collapsed="false">
      <c r="A86" s="28" t="s">
        <v>246</v>
      </c>
      <c r="B86" s="29" t="s">
        <v>32</v>
      </c>
      <c r="C86" s="29" t="n">
        <v>2</v>
      </c>
      <c r="D86" s="29" t="n">
        <v>106</v>
      </c>
      <c r="E86" s="29" t="n">
        <v>88</v>
      </c>
      <c r="F86" s="29" t="s">
        <v>150</v>
      </c>
      <c r="G86" s="29"/>
      <c r="H86" s="30" t="s">
        <v>247</v>
      </c>
      <c r="I86" s="29" t="n">
        <v>3</v>
      </c>
      <c r="J86" s="29" t="n">
        <v>7</v>
      </c>
      <c r="K86" s="29" t="n">
        <v>4</v>
      </c>
      <c r="L86" s="28" t="s">
        <v>159</v>
      </c>
      <c r="M86" s="28" t="s">
        <v>248</v>
      </c>
      <c r="N86" s="30"/>
      <c r="O86" s="31" t="n">
        <v>1</v>
      </c>
      <c r="P86" s="26" t="s">
        <v>28</v>
      </c>
      <c r="Q86" s="27"/>
    </row>
    <row r="87" customFormat="false" ht="15" hidden="false" customHeight="false" outlineLevel="0" collapsed="false">
      <c r="A87" s="28" t="s">
        <v>249</v>
      </c>
      <c r="B87" s="29" t="s">
        <v>32</v>
      </c>
      <c r="C87" s="29" t="n">
        <v>2</v>
      </c>
      <c r="D87" s="29" t="n">
        <v>106</v>
      </c>
      <c r="E87" s="29" t="n">
        <v>88</v>
      </c>
      <c r="F87" s="29" t="s">
        <v>150</v>
      </c>
      <c r="G87" s="29"/>
      <c r="H87" s="30" t="s">
        <v>250</v>
      </c>
      <c r="I87" s="29" t="n">
        <v>3</v>
      </c>
      <c r="J87" s="29" t="n">
        <v>7</v>
      </c>
      <c r="K87" s="29" t="n">
        <v>4</v>
      </c>
      <c r="L87" s="28" t="s">
        <v>179</v>
      </c>
      <c r="M87" s="28" t="s">
        <v>251</v>
      </c>
      <c r="N87" s="30"/>
      <c r="O87" s="31" t="n">
        <v>1</v>
      </c>
      <c r="P87" s="26" t="s">
        <v>28</v>
      </c>
      <c r="Q87" s="27"/>
    </row>
    <row r="88" customFormat="false" ht="15" hidden="false" customHeight="false" outlineLevel="0" collapsed="false">
      <c r="A88" s="28" t="s">
        <v>252</v>
      </c>
      <c r="B88" s="29" t="s">
        <v>32</v>
      </c>
      <c r="C88" s="29" t="n">
        <v>2</v>
      </c>
      <c r="D88" s="29" t="n">
        <v>106</v>
      </c>
      <c r="E88" s="29" t="n">
        <v>88</v>
      </c>
      <c r="F88" s="29" t="s">
        <v>150</v>
      </c>
      <c r="G88" s="29"/>
      <c r="H88" s="30" t="s">
        <v>253</v>
      </c>
      <c r="I88" s="29" t="n">
        <v>3</v>
      </c>
      <c r="J88" s="29" t="n">
        <v>7</v>
      </c>
      <c r="K88" s="29" t="n">
        <v>4</v>
      </c>
      <c r="L88" s="28" t="s">
        <v>179</v>
      </c>
      <c r="M88" s="28" t="s">
        <v>183</v>
      </c>
      <c r="N88" s="30"/>
      <c r="O88" s="31" t="n">
        <v>1</v>
      </c>
      <c r="P88" s="26" t="s">
        <v>28</v>
      </c>
      <c r="Q88" s="27"/>
    </row>
    <row r="89" customFormat="false" ht="15" hidden="false" customHeight="false" outlineLevel="0" collapsed="false">
      <c r="A89" s="28" t="s">
        <v>254</v>
      </c>
      <c r="B89" s="29" t="s">
        <v>32</v>
      </c>
      <c r="C89" s="29" t="n">
        <v>2</v>
      </c>
      <c r="D89" s="29" t="n">
        <v>106</v>
      </c>
      <c r="E89" s="29" t="n">
        <v>88</v>
      </c>
      <c r="F89" s="29" t="s">
        <v>150</v>
      </c>
      <c r="G89" s="29"/>
      <c r="H89" s="30" t="s">
        <v>255</v>
      </c>
      <c r="I89" s="29" t="n">
        <v>3</v>
      </c>
      <c r="J89" s="29" t="n">
        <v>7</v>
      </c>
      <c r="K89" s="29" t="n">
        <v>4</v>
      </c>
      <c r="L89" s="28" t="s">
        <v>186</v>
      </c>
      <c r="M89" s="28" t="s">
        <v>220</v>
      </c>
      <c r="N89" s="30"/>
      <c r="O89" s="31" t="n">
        <v>1</v>
      </c>
      <c r="P89" s="26" t="s">
        <v>28</v>
      </c>
      <c r="Q89" s="27"/>
    </row>
    <row r="90" customFormat="false" ht="15" hidden="false" customHeight="false" outlineLevel="0" collapsed="false">
      <c r="A90" s="28" t="s">
        <v>256</v>
      </c>
      <c r="B90" s="29" t="s">
        <v>32</v>
      </c>
      <c r="C90" s="29" t="n">
        <v>2</v>
      </c>
      <c r="D90" s="29" t="n">
        <v>106</v>
      </c>
      <c r="E90" s="29" t="n">
        <v>88</v>
      </c>
      <c r="F90" s="29" t="s">
        <v>150</v>
      </c>
      <c r="G90" s="29"/>
      <c r="H90" s="30" t="s">
        <v>257</v>
      </c>
      <c r="I90" s="29" t="n">
        <v>3</v>
      </c>
      <c r="J90" s="29" t="n">
        <v>7</v>
      </c>
      <c r="K90" s="29" t="n">
        <v>4</v>
      </c>
      <c r="L90" s="28" t="s">
        <v>179</v>
      </c>
      <c r="M90" s="28" t="s">
        <v>183</v>
      </c>
      <c r="N90" s="30"/>
      <c r="O90" s="31" t="n">
        <v>1</v>
      </c>
      <c r="P90" s="26" t="s">
        <v>28</v>
      </c>
      <c r="Q90" s="27"/>
    </row>
    <row r="91" customFormat="false" ht="15" hidden="false" customHeight="false" outlineLevel="0" collapsed="false">
      <c r="A91" s="28" t="s">
        <v>258</v>
      </c>
      <c r="B91" s="29" t="s">
        <v>32</v>
      </c>
      <c r="C91" s="29" t="n">
        <v>2</v>
      </c>
      <c r="D91" s="29" t="n">
        <v>106</v>
      </c>
      <c r="E91" s="29" t="n">
        <v>88</v>
      </c>
      <c r="F91" s="29" t="s">
        <v>150</v>
      </c>
      <c r="G91" s="29"/>
      <c r="H91" s="30" t="s">
        <v>259</v>
      </c>
      <c r="I91" s="29" t="n">
        <v>3</v>
      </c>
      <c r="J91" s="29" t="n">
        <v>7</v>
      </c>
      <c r="K91" s="29" t="n">
        <v>4</v>
      </c>
      <c r="L91" s="28" t="s">
        <v>152</v>
      </c>
      <c r="M91" s="28" t="s">
        <v>260</v>
      </c>
      <c r="N91" s="30"/>
      <c r="O91" s="31" t="n">
        <v>1</v>
      </c>
      <c r="P91" s="26" t="s">
        <v>28</v>
      </c>
      <c r="Q91" s="27"/>
    </row>
    <row r="92" customFormat="false" ht="15" hidden="false" customHeight="false" outlineLevel="0" collapsed="false">
      <c r="A92" s="28" t="s">
        <v>261</v>
      </c>
      <c r="B92" s="29" t="s">
        <v>32</v>
      </c>
      <c r="C92" s="29" t="n">
        <v>2</v>
      </c>
      <c r="D92" s="29" t="n">
        <v>106</v>
      </c>
      <c r="E92" s="29" t="n">
        <v>88</v>
      </c>
      <c r="F92" s="29" t="s">
        <v>150</v>
      </c>
      <c r="G92" s="29"/>
      <c r="H92" s="30" t="s">
        <v>262</v>
      </c>
      <c r="I92" s="29" t="n">
        <v>3</v>
      </c>
      <c r="J92" s="29" t="n">
        <v>7</v>
      </c>
      <c r="K92" s="29" t="n">
        <v>4</v>
      </c>
      <c r="L92" s="28" t="s">
        <v>152</v>
      </c>
      <c r="M92" s="28" t="s">
        <v>190</v>
      </c>
      <c r="N92" s="30"/>
      <c r="O92" s="31" t="n">
        <v>1</v>
      </c>
      <c r="P92" s="26" t="s">
        <v>28</v>
      </c>
      <c r="Q92" s="27"/>
    </row>
    <row r="93" customFormat="false" ht="15" hidden="false" customHeight="false" outlineLevel="0" collapsed="false">
      <c r="A93" s="28" t="s">
        <v>263</v>
      </c>
      <c r="B93" s="29" t="s">
        <v>32</v>
      </c>
      <c r="C93" s="29" t="n">
        <v>2</v>
      </c>
      <c r="D93" s="29" t="n">
        <v>106</v>
      </c>
      <c r="E93" s="29" t="n">
        <v>88</v>
      </c>
      <c r="F93" s="29" t="s">
        <v>150</v>
      </c>
      <c r="G93" s="29"/>
      <c r="H93" s="30" t="s">
        <v>264</v>
      </c>
      <c r="I93" s="29" t="n">
        <v>3</v>
      </c>
      <c r="J93" s="29" t="n">
        <v>7</v>
      </c>
      <c r="K93" s="29" t="n">
        <v>4</v>
      </c>
      <c r="L93" s="28" t="s">
        <v>179</v>
      </c>
      <c r="M93" s="28" t="s">
        <v>265</v>
      </c>
      <c r="N93" s="30"/>
      <c r="O93" s="31" t="n">
        <v>1</v>
      </c>
      <c r="P93" s="26" t="s">
        <v>28</v>
      </c>
      <c r="Q93" s="27"/>
    </row>
    <row r="94" customFormat="false" ht="15" hidden="false" customHeight="false" outlineLevel="0" collapsed="false">
      <c r="A94" s="28" t="s">
        <v>266</v>
      </c>
      <c r="B94" s="29" t="s">
        <v>32</v>
      </c>
      <c r="C94" s="29" t="n">
        <v>2</v>
      </c>
      <c r="D94" s="29" t="n">
        <v>106</v>
      </c>
      <c r="E94" s="29" t="n">
        <v>88</v>
      </c>
      <c r="F94" s="29" t="s">
        <v>150</v>
      </c>
      <c r="G94" s="29"/>
      <c r="H94" s="30" t="s">
        <v>267</v>
      </c>
      <c r="I94" s="29" t="n">
        <v>3</v>
      </c>
      <c r="J94" s="29" t="n">
        <v>7</v>
      </c>
      <c r="K94" s="29" t="n">
        <v>4</v>
      </c>
      <c r="L94" s="28" t="s">
        <v>179</v>
      </c>
      <c r="M94" s="28" t="s">
        <v>268</v>
      </c>
      <c r="N94" s="30"/>
      <c r="O94" s="31" t="n">
        <v>1</v>
      </c>
      <c r="P94" s="26" t="s">
        <v>28</v>
      </c>
      <c r="Q94" s="27"/>
    </row>
    <row r="95" customFormat="false" ht="15" hidden="false" customHeight="false" outlineLevel="0" collapsed="false">
      <c r="A95" s="28" t="s">
        <v>269</v>
      </c>
      <c r="B95" s="29" t="s">
        <v>32</v>
      </c>
      <c r="C95" s="29" t="n">
        <v>2</v>
      </c>
      <c r="D95" s="29" t="n">
        <v>106</v>
      </c>
      <c r="E95" s="29" t="n">
        <v>88</v>
      </c>
      <c r="F95" s="29" t="s">
        <v>150</v>
      </c>
      <c r="G95" s="29"/>
      <c r="H95" s="30" t="s">
        <v>270</v>
      </c>
      <c r="I95" s="29" t="n">
        <v>3</v>
      </c>
      <c r="J95" s="29" t="n">
        <v>8</v>
      </c>
      <c r="K95" s="29" t="n">
        <v>5</v>
      </c>
      <c r="L95" s="28" t="s">
        <v>152</v>
      </c>
      <c r="M95" s="28" t="s">
        <v>233</v>
      </c>
      <c r="N95" s="30"/>
      <c r="O95" s="31" t="n">
        <v>1</v>
      </c>
      <c r="P95" s="26" t="s">
        <v>28</v>
      </c>
      <c r="Q95" s="27"/>
    </row>
    <row r="96" customFormat="false" ht="15" hidden="false" customHeight="false" outlineLevel="0" collapsed="false">
      <c r="A96" s="28" t="s">
        <v>271</v>
      </c>
      <c r="B96" s="29" t="s">
        <v>32</v>
      </c>
      <c r="C96" s="29" t="n">
        <v>2</v>
      </c>
      <c r="D96" s="29" t="n">
        <v>106</v>
      </c>
      <c r="E96" s="29" t="n">
        <v>88</v>
      </c>
      <c r="F96" s="29" t="s">
        <v>150</v>
      </c>
      <c r="G96" s="29"/>
      <c r="H96" s="30" t="s">
        <v>272</v>
      </c>
      <c r="I96" s="29" t="n">
        <v>3</v>
      </c>
      <c r="J96" s="29" t="n">
        <v>8</v>
      </c>
      <c r="K96" s="29" t="n">
        <v>5</v>
      </c>
      <c r="L96" s="28" t="s">
        <v>166</v>
      </c>
      <c r="M96" s="28" t="s">
        <v>273</v>
      </c>
      <c r="N96" s="30"/>
      <c r="O96" s="31" t="n">
        <v>1</v>
      </c>
      <c r="P96" s="26" t="s">
        <v>28</v>
      </c>
      <c r="Q96" s="27"/>
    </row>
    <row r="97" customFormat="false" ht="15" hidden="false" customHeight="false" outlineLevel="0" collapsed="false">
      <c r="A97" s="28" t="s">
        <v>274</v>
      </c>
      <c r="B97" s="29" t="s">
        <v>32</v>
      </c>
      <c r="C97" s="29" t="n">
        <v>2</v>
      </c>
      <c r="D97" s="29" t="n">
        <v>106</v>
      </c>
      <c r="E97" s="29" t="n">
        <v>88</v>
      </c>
      <c r="F97" s="29" t="s">
        <v>150</v>
      </c>
      <c r="G97" s="29"/>
      <c r="H97" s="30" t="s">
        <v>275</v>
      </c>
      <c r="I97" s="29" t="n">
        <v>3</v>
      </c>
      <c r="J97" s="29" t="n">
        <v>8</v>
      </c>
      <c r="K97" s="29" t="n">
        <v>5</v>
      </c>
      <c r="L97" s="28" t="s">
        <v>152</v>
      </c>
      <c r="M97" s="28" t="s">
        <v>210</v>
      </c>
      <c r="N97" s="30"/>
      <c r="O97" s="31" t="n">
        <v>1</v>
      </c>
      <c r="P97" s="26" t="s">
        <v>28</v>
      </c>
      <c r="Q97" s="27"/>
    </row>
    <row r="98" customFormat="false" ht="15" hidden="false" customHeight="false" outlineLevel="0" collapsed="false">
      <c r="A98" s="28" t="s">
        <v>276</v>
      </c>
      <c r="B98" s="29" t="s">
        <v>32</v>
      </c>
      <c r="C98" s="29" t="n">
        <v>2</v>
      </c>
      <c r="D98" s="29" t="n">
        <v>106</v>
      </c>
      <c r="E98" s="29" t="n">
        <v>88</v>
      </c>
      <c r="F98" s="29" t="s">
        <v>150</v>
      </c>
      <c r="G98" s="29"/>
      <c r="H98" s="30" t="s">
        <v>277</v>
      </c>
      <c r="I98" s="29" t="n">
        <v>4</v>
      </c>
      <c r="J98" s="29" t="n">
        <v>8</v>
      </c>
      <c r="K98" s="29" t="n">
        <v>5</v>
      </c>
      <c r="L98" s="28" t="s">
        <v>166</v>
      </c>
      <c r="M98" s="28" t="s">
        <v>278</v>
      </c>
      <c r="N98" s="30"/>
      <c r="O98" s="31" t="n">
        <v>1</v>
      </c>
      <c r="P98" s="26" t="s">
        <v>28</v>
      </c>
      <c r="Q98" s="27"/>
    </row>
    <row r="99" customFormat="false" ht="15" hidden="false" customHeight="false" outlineLevel="0" collapsed="false">
      <c r="A99" s="28" t="s">
        <v>279</v>
      </c>
      <c r="B99" s="29" t="s">
        <v>32</v>
      </c>
      <c r="C99" s="29" t="n">
        <v>2</v>
      </c>
      <c r="D99" s="29" t="n">
        <v>106</v>
      </c>
      <c r="E99" s="29" t="n">
        <v>88</v>
      </c>
      <c r="F99" s="29" t="s">
        <v>150</v>
      </c>
      <c r="G99" s="29"/>
      <c r="H99" s="30" t="s">
        <v>280</v>
      </c>
      <c r="I99" s="29" t="n">
        <v>4</v>
      </c>
      <c r="J99" s="29" t="n">
        <v>8</v>
      </c>
      <c r="K99" s="29" t="n">
        <v>5</v>
      </c>
      <c r="L99" s="28" t="s">
        <v>166</v>
      </c>
      <c r="M99" s="28" t="s">
        <v>281</v>
      </c>
      <c r="N99" s="30"/>
      <c r="O99" s="31" t="n">
        <v>1</v>
      </c>
      <c r="P99" s="26" t="s">
        <v>28</v>
      </c>
      <c r="Q99" s="27"/>
    </row>
    <row r="100" customFormat="false" ht="15" hidden="false" customHeight="false" outlineLevel="0" collapsed="false">
      <c r="A100" s="28" t="s">
        <v>282</v>
      </c>
      <c r="B100" s="29" t="s">
        <v>32</v>
      </c>
      <c r="C100" s="29" t="n">
        <v>2</v>
      </c>
      <c r="D100" s="29" t="n">
        <v>106</v>
      </c>
      <c r="E100" s="29" t="n">
        <v>88</v>
      </c>
      <c r="F100" s="29" t="s">
        <v>150</v>
      </c>
      <c r="G100" s="29"/>
      <c r="H100" s="30" t="s">
        <v>283</v>
      </c>
      <c r="I100" s="29" t="n">
        <v>4</v>
      </c>
      <c r="J100" s="29" t="n">
        <v>8</v>
      </c>
      <c r="K100" s="29" t="n">
        <v>5</v>
      </c>
      <c r="L100" s="28" t="s">
        <v>166</v>
      </c>
      <c r="M100" s="28" t="s">
        <v>284</v>
      </c>
      <c r="N100" s="30"/>
      <c r="O100" s="31" t="n">
        <v>1</v>
      </c>
      <c r="P100" s="26" t="s">
        <v>28</v>
      </c>
      <c r="Q100" s="27"/>
    </row>
    <row r="101" customFormat="false" ht="15" hidden="false" customHeight="false" outlineLevel="0" collapsed="false">
      <c r="A101" s="28" t="s">
        <v>285</v>
      </c>
      <c r="B101" s="29" t="s">
        <v>32</v>
      </c>
      <c r="C101" s="29" t="n">
        <v>2</v>
      </c>
      <c r="D101" s="29" t="n">
        <v>106</v>
      </c>
      <c r="E101" s="29" t="n">
        <v>88</v>
      </c>
      <c r="F101" s="29" t="s">
        <v>150</v>
      </c>
      <c r="G101" s="29"/>
      <c r="H101" s="30" t="s">
        <v>286</v>
      </c>
      <c r="I101" s="29" t="n">
        <v>4</v>
      </c>
      <c r="J101" s="29" t="n">
        <v>8</v>
      </c>
      <c r="K101" s="29" t="n">
        <v>5</v>
      </c>
      <c r="L101" s="28" t="s">
        <v>159</v>
      </c>
      <c r="M101" s="28" t="s">
        <v>238</v>
      </c>
      <c r="N101" s="30"/>
      <c r="O101" s="31" t="n">
        <v>1</v>
      </c>
      <c r="P101" s="26" t="s">
        <v>28</v>
      </c>
      <c r="Q101" s="27"/>
    </row>
    <row r="102" customFormat="false" ht="15" hidden="false" customHeight="false" outlineLevel="0" collapsed="false">
      <c r="A102" s="28" t="s">
        <v>287</v>
      </c>
      <c r="B102" s="29" t="s">
        <v>32</v>
      </c>
      <c r="C102" s="29" t="n">
        <v>2</v>
      </c>
      <c r="D102" s="29" t="n">
        <v>106</v>
      </c>
      <c r="E102" s="29" t="n">
        <v>88</v>
      </c>
      <c r="F102" s="29" t="s">
        <v>150</v>
      </c>
      <c r="G102" s="29"/>
      <c r="H102" s="30" t="s">
        <v>288</v>
      </c>
      <c r="I102" s="29" t="n">
        <v>3</v>
      </c>
      <c r="J102" s="29" t="n">
        <v>8</v>
      </c>
      <c r="K102" s="29" t="n">
        <v>5</v>
      </c>
      <c r="L102" s="28" t="s">
        <v>179</v>
      </c>
      <c r="M102" s="28" t="s">
        <v>289</v>
      </c>
      <c r="N102" s="30"/>
      <c r="O102" s="31" t="n">
        <v>1</v>
      </c>
      <c r="P102" s="26" t="s">
        <v>28</v>
      </c>
      <c r="Q102" s="27"/>
    </row>
    <row r="103" customFormat="false" ht="15" hidden="false" customHeight="false" outlineLevel="0" collapsed="false">
      <c r="A103" s="28" t="s">
        <v>290</v>
      </c>
      <c r="B103" s="29" t="s">
        <v>32</v>
      </c>
      <c r="C103" s="29" t="n">
        <v>2</v>
      </c>
      <c r="D103" s="29" t="n">
        <v>106</v>
      </c>
      <c r="E103" s="29" t="n">
        <v>88</v>
      </c>
      <c r="F103" s="29" t="s">
        <v>150</v>
      </c>
      <c r="G103" s="29"/>
      <c r="H103" s="30" t="s">
        <v>291</v>
      </c>
      <c r="I103" s="29" t="n">
        <v>3</v>
      </c>
      <c r="J103" s="29" t="n">
        <v>8</v>
      </c>
      <c r="K103" s="29" t="n">
        <v>5</v>
      </c>
      <c r="L103" s="28" t="s">
        <v>166</v>
      </c>
      <c r="M103" s="28" t="s">
        <v>292</v>
      </c>
      <c r="N103" s="30"/>
      <c r="O103" s="31" t="n">
        <v>1</v>
      </c>
      <c r="P103" s="26" t="s">
        <v>28</v>
      </c>
      <c r="Q103" s="27"/>
    </row>
    <row r="104" customFormat="false" ht="15" hidden="false" customHeight="false" outlineLevel="0" collapsed="false">
      <c r="A104" s="28" t="s">
        <v>293</v>
      </c>
      <c r="B104" s="29" t="s">
        <v>32</v>
      </c>
      <c r="C104" s="29" t="n">
        <v>2</v>
      </c>
      <c r="D104" s="29" t="n">
        <v>106</v>
      </c>
      <c r="E104" s="29" t="n">
        <v>88</v>
      </c>
      <c r="F104" s="29" t="s">
        <v>150</v>
      </c>
      <c r="G104" s="29"/>
      <c r="H104" s="30" t="s">
        <v>294</v>
      </c>
      <c r="I104" s="29" t="n">
        <v>3</v>
      </c>
      <c r="J104" s="29" t="n">
        <v>8</v>
      </c>
      <c r="K104" s="29" t="n">
        <v>5</v>
      </c>
      <c r="L104" s="28" t="s">
        <v>179</v>
      </c>
      <c r="M104" s="28" t="s">
        <v>295</v>
      </c>
      <c r="N104" s="30"/>
      <c r="O104" s="31" t="n">
        <v>1</v>
      </c>
      <c r="P104" s="26" t="s">
        <v>28</v>
      </c>
      <c r="Q104" s="27"/>
    </row>
    <row r="105" customFormat="false" ht="15" hidden="false" customHeight="false" outlineLevel="0" collapsed="false">
      <c r="A105" s="28" t="s">
        <v>296</v>
      </c>
      <c r="B105" s="29" t="s">
        <v>32</v>
      </c>
      <c r="C105" s="29" t="n">
        <v>2</v>
      </c>
      <c r="D105" s="29" t="n">
        <v>106</v>
      </c>
      <c r="E105" s="29" t="n">
        <v>88</v>
      </c>
      <c r="F105" s="29" t="s">
        <v>150</v>
      </c>
      <c r="G105" s="29"/>
      <c r="H105" s="30" t="s">
        <v>297</v>
      </c>
      <c r="I105" s="29" t="n">
        <v>4</v>
      </c>
      <c r="J105" s="29" t="n">
        <v>8</v>
      </c>
      <c r="K105" s="29" t="n">
        <v>5</v>
      </c>
      <c r="L105" s="28" t="s">
        <v>152</v>
      </c>
      <c r="M105" s="28" t="s">
        <v>210</v>
      </c>
      <c r="N105" s="30"/>
      <c r="O105" s="31" t="n">
        <v>1</v>
      </c>
      <c r="P105" s="26" t="s">
        <v>28</v>
      </c>
      <c r="Q105" s="27"/>
    </row>
    <row r="106" customFormat="false" ht="15" hidden="false" customHeight="false" outlineLevel="0" collapsed="false">
      <c r="A106" s="28" t="s">
        <v>298</v>
      </c>
      <c r="B106" s="29" t="s">
        <v>32</v>
      </c>
      <c r="C106" s="29" t="n">
        <v>2</v>
      </c>
      <c r="D106" s="29" t="n">
        <v>106</v>
      </c>
      <c r="E106" s="29" t="n">
        <v>88</v>
      </c>
      <c r="F106" s="29" t="s">
        <v>150</v>
      </c>
      <c r="G106" s="29"/>
      <c r="H106" s="30" t="s">
        <v>299</v>
      </c>
      <c r="I106" s="29" t="n">
        <v>3</v>
      </c>
      <c r="J106" s="29" t="n">
        <v>8</v>
      </c>
      <c r="K106" s="29" t="n">
        <v>5</v>
      </c>
      <c r="L106" s="28" t="s">
        <v>152</v>
      </c>
      <c r="M106" s="28" t="s">
        <v>190</v>
      </c>
      <c r="N106" s="30"/>
      <c r="O106" s="31" t="n">
        <v>1</v>
      </c>
      <c r="P106" s="26" t="s">
        <v>28</v>
      </c>
      <c r="Q106" s="27"/>
    </row>
    <row r="107" customFormat="false" ht="15" hidden="false" customHeight="false" outlineLevel="0" collapsed="false">
      <c r="A107" s="28" t="s">
        <v>300</v>
      </c>
      <c r="B107" s="29" t="s">
        <v>32</v>
      </c>
      <c r="C107" s="29" t="n">
        <v>2</v>
      </c>
      <c r="D107" s="29" t="n">
        <v>106</v>
      </c>
      <c r="E107" s="29" t="n">
        <v>88</v>
      </c>
      <c r="F107" s="29" t="s">
        <v>150</v>
      </c>
      <c r="G107" s="29"/>
      <c r="H107" s="30" t="s">
        <v>301</v>
      </c>
      <c r="I107" s="29" t="n">
        <v>3</v>
      </c>
      <c r="J107" s="29" t="n">
        <v>8</v>
      </c>
      <c r="K107" s="29" t="n">
        <v>5</v>
      </c>
      <c r="L107" s="28" t="s">
        <v>159</v>
      </c>
      <c r="M107" s="28" t="s">
        <v>302</v>
      </c>
      <c r="N107" s="30"/>
      <c r="O107" s="31" t="n">
        <v>1</v>
      </c>
      <c r="P107" s="26" t="s">
        <v>28</v>
      </c>
      <c r="Q107" s="27"/>
    </row>
    <row r="108" customFormat="false" ht="15" hidden="false" customHeight="false" outlineLevel="0" collapsed="false">
      <c r="A108" s="28" t="s">
        <v>303</v>
      </c>
      <c r="B108" s="29" t="s">
        <v>32</v>
      </c>
      <c r="C108" s="29" t="n">
        <v>2</v>
      </c>
      <c r="D108" s="29" t="n">
        <v>106</v>
      </c>
      <c r="E108" s="29" t="n">
        <v>88</v>
      </c>
      <c r="F108" s="29" t="s">
        <v>150</v>
      </c>
      <c r="G108" s="29"/>
      <c r="H108" s="30" t="s">
        <v>304</v>
      </c>
      <c r="I108" s="29" t="n">
        <v>3</v>
      </c>
      <c r="J108" s="29" t="n">
        <v>8</v>
      </c>
      <c r="K108" s="29" t="n">
        <v>5</v>
      </c>
      <c r="L108" s="28" t="s">
        <v>159</v>
      </c>
      <c r="M108" s="28" t="s">
        <v>305</v>
      </c>
      <c r="N108" s="30"/>
      <c r="O108" s="31" t="n">
        <v>1</v>
      </c>
      <c r="P108" s="26" t="s">
        <v>28</v>
      </c>
      <c r="Q108" s="27"/>
    </row>
    <row r="109" customFormat="false" ht="15" hidden="false" customHeight="false" outlineLevel="0" collapsed="false">
      <c r="A109" s="28" t="s">
        <v>306</v>
      </c>
      <c r="B109" s="29" t="s">
        <v>32</v>
      </c>
      <c r="C109" s="29" t="n">
        <v>2</v>
      </c>
      <c r="D109" s="29" t="n">
        <v>106</v>
      </c>
      <c r="E109" s="29" t="n">
        <v>88</v>
      </c>
      <c r="F109" s="29" t="s">
        <v>150</v>
      </c>
      <c r="G109" s="29"/>
      <c r="H109" s="30" t="s">
        <v>307</v>
      </c>
      <c r="I109" s="29" t="n">
        <v>3</v>
      </c>
      <c r="J109" s="29" t="n">
        <v>8</v>
      </c>
      <c r="K109" s="29" t="n">
        <v>5</v>
      </c>
      <c r="L109" s="28" t="s">
        <v>179</v>
      </c>
      <c r="M109" s="28" t="s">
        <v>183</v>
      </c>
      <c r="N109" s="30"/>
      <c r="O109" s="31" t="n">
        <v>1</v>
      </c>
      <c r="P109" s="26" t="s">
        <v>28</v>
      </c>
      <c r="Q109" s="27"/>
    </row>
    <row r="110" customFormat="false" ht="15" hidden="false" customHeight="false" outlineLevel="0" collapsed="false">
      <c r="A110" s="28" t="s">
        <v>308</v>
      </c>
      <c r="B110" s="29" t="s">
        <v>32</v>
      </c>
      <c r="C110" s="29" t="n">
        <v>2</v>
      </c>
      <c r="D110" s="29" t="n">
        <v>106</v>
      </c>
      <c r="E110" s="29" t="n">
        <v>88</v>
      </c>
      <c r="F110" s="29" t="s">
        <v>150</v>
      </c>
      <c r="G110" s="29"/>
      <c r="H110" s="30" t="s">
        <v>309</v>
      </c>
      <c r="I110" s="29" t="n">
        <v>4</v>
      </c>
      <c r="J110" s="29" t="n">
        <v>9</v>
      </c>
      <c r="K110" s="29" t="n">
        <v>5</v>
      </c>
      <c r="L110" s="28" t="s">
        <v>152</v>
      </c>
      <c r="M110" s="28" t="s">
        <v>210</v>
      </c>
      <c r="N110" s="30"/>
      <c r="O110" s="31" t="n">
        <v>1</v>
      </c>
      <c r="P110" s="26" t="s">
        <v>28</v>
      </c>
      <c r="Q110" s="27"/>
    </row>
    <row r="111" customFormat="false" ht="15" hidden="false" customHeight="false" outlineLevel="0" collapsed="false">
      <c r="A111" s="28" t="s">
        <v>310</v>
      </c>
      <c r="B111" s="29" t="s">
        <v>32</v>
      </c>
      <c r="C111" s="29" t="n">
        <v>2</v>
      </c>
      <c r="D111" s="29" t="n">
        <v>106</v>
      </c>
      <c r="E111" s="29" t="n">
        <v>88</v>
      </c>
      <c r="F111" s="29" t="s">
        <v>150</v>
      </c>
      <c r="G111" s="29"/>
      <c r="H111" s="30" t="s">
        <v>311</v>
      </c>
      <c r="I111" s="29" t="n">
        <v>4</v>
      </c>
      <c r="J111" s="29" t="n">
        <v>9</v>
      </c>
      <c r="K111" s="29" t="n">
        <v>5</v>
      </c>
      <c r="L111" s="28" t="s">
        <v>166</v>
      </c>
      <c r="M111" s="28" t="s">
        <v>284</v>
      </c>
      <c r="N111" s="30"/>
      <c r="O111" s="31" t="n">
        <v>1</v>
      </c>
      <c r="P111" s="26" t="s">
        <v>28</v>
      </c>
      <c r="Q111" s="27"/>
    </row>
    <row r="112" customFormat="false" ht="15" hidden="false" customHeight="false" outlineLevel="0" collapsed="false">
      <c r="A112" s="28" t="s">
        <v>312</v>
      </c>
      <c r="B112" s="29" t="s">
        <v>32</v>
      </c>
      <c r="C112" s="29" t="n">
        <v>3</v>
      </c>
      <c r="D112" s="29" t="n">
        <v>118</v>
      </c>
      <c r="E112" s="29" t="n">
        <v>88</v>
      </c>
      <c r="F112" s="29" t="s">
        <v>150</v>
      </c>
      <c r="G112" s="29"/>
      <c r="H112" s="30" t="s">
        <v>313</v>
      </c>
      <c r="I112" s="29" t="n">
        <v>4</v>
      </c>
      <c r="J112" s="29" t="n">
        <v>9</v>
      </c>
      <c r="K112" s="29" t="n">
        <v>5</v>
      </c>
      <c r="L112" s="28" t="s">
        <v>166</v>
      </c>
      <c r="M112" s="28" t="s">
        <v>314</v>
      </c>
      <c r="N112" s="30"/>
      <c r="O112" s="31" t="n">
        <v>1</v>
      </c>
      <c r="P112" s="26" t="s">
        <v>28</v>
      </c>
      <c r="Q112" s="27"/>
    </row>
    <row r="113" customFormat="false" ht="15" hidden="false" customHeight="false" outlineLevel="0" collapsed="false">
      <c r="A113" s="28" t="s">
        <v>315</v>
      </c>
      <c r="B113" s="29" t="s">
        <v>32</v>
      </c>
      <c r="C113" s="29" t="n">
        <v>3</v>
      </c>
      <c r="D113" s="29" t="n">
        <v>118</v>
      </c>
      <c r="E113" s="29" t="n">
        <v>88</v>
      </c>
      <c r="F113" s="29" t="s">
        <v>150</v>
      </c>
      <c r="G113" s="29"/>
      <c r="H113" s="30" t="s">
        <v>316</v>
      </c>
      <c r="I113" s="29" t="n">
        <v>3</v>
      </c>
      <c r="J113" s="29" t="n">
        <v>9</v>
      </c>
      <c r="K113" s="29" t="n">
        <v>5</v>
      </c>
      <c r="L113" s="28" t="s">
        <v>152</v>
      </c>
      <c r="M113" s="28" t="s">
        <v>233</v>
      </c>
      <c r="N113" s="30"/>
      <c r="O113" s="31" t="n">
        <v>1</v>
      </c>
      <c r="P113" s="26" t="s">
        <v>28</v>
      </c>
      <c r="Q113" s="27"/>
    </row>
    <row r="114" customFormat="false" ht="15" hidden="false" customHeight="false" outlineLevel="0" collapsed="false">
      <c r="A114" s="28" t="s">
        <v>317</v>
      </c>
      <c r="B114" s="29" t="s">
        <v>32</v>
      </c>
      <c r="C114" s="29" t="n">
        <v>3</v>
      </c>
      <c r="D114" s="29" t="n">
        <v>118</v>
      </c>
      <c r="E114" s="29" t="n">
        <v>88</v>
      </c>
      <c r="F114" s="29" t="s">
        <v>150</v>
      </c>
      <c r="G114" s="29"/>
      <c r="H114" s="30" t="s">
        <v>318</v>
      </c>
      <c r="I114" s="29" t="n">
        <v>4</v>
      </c>
      <c r="J114" s="29" t="n">
        <v>9</v>
      </c>
      <c r="K114" s="29" t="n">
        <v>5</v>
      </c>
      <c r="L114" s="28" t="s">
        <v>159</v>
      </c>
      <c r="M114" s="28" t="s">
        <v>302</v>
      </c>
      <c r="N114" s="30"/>
      <c r="O114" s="31" t="n">
        <v>1</v>
      </c>
      <c r="P114" s="26" t="s">
        <v>28</v>
      </c>
      <c r="Q114" s="27"/>
    </row>
    <row r="115" customFormat="false" ht="15" hidden="false" customHeight="false" outlineLevel="0" collapsed="false">
      <c r="A115" s="28" t="s">
        <v>319</v>
      </c>
      <c r="B115" s="29" t="s">
        <v>32</v>
      </c>
      <c r="C115" s="29" t="n">
        <v>3</v>
      </c>
      <c r="D115" s="29" t="n">
        <v>118</v>
      </c>
      <c r="E115" s="29" t="n">
        <v>88</v>
      </c>
      <c r="F115" s="29" t="s">
        <v>150</v>
      </c>
      <c r="G115" s="29"/>
      <c r="H115" s="30" t="s">
        <v>320</v>
      </c>
      <c r="I115" s="29" t="n">
        <v>5</v>
      </c>
      <c r="J115" s="29" t="n">
        <v>9</v>
      </c>
      <c r="K115" s="29" t="n">
        <v>5</v>
      </c>
      <c r="L115" s="28" t="s">
        <v>166</v>
      </c>
      <c r="M115" s="28" t="s">
        <v>321</v>
      </c>
      <c r="N115" s="30"/>
      <c r="O115" s="31" t="n">
        <v>1</v>
      </c>
      <c r="P115" s="26" t="s">
        <v>28</v>
      </c>
      <c r="Q115" s="27"/>
    </row>
    <row r="116" customFormat="false" ht="15" hidden="false" customHeight="false" outlineLevel="0" collapsed="false">
      <c r="A116" s="28" t="s">
        <v>322</v>
      </c>
      <c r="B116" s="29" t="s">
        <v>32</v>
      </c>
      <c r="C116" s="29" t="n">
        <v>3</v>
      </c>
      <c r="D116" s="29" t="n">
        <v>118</v>
      </c>
      <c r="E116" s="29" t="n">
        <v>88</v>
      </c>
      <c r="F116" s="29" t="s">
        <v>150</v>
      </c>
      <c r="G116" s="29"/>
      <c r="H116" s="30" t="s">
        <v>323</v>
      </c>
      <c r="I116" s="29" t="n">
        <v>4</v>
      </c>
      <c r="J116" s="29" t="n">
        <v>9</v>
      </c>
      <c r="K116" s="29" t="n">
        <v>5</v>
      </c>
      <c r="L116" s="28" t="s">
        <v>179</v>
      </c>
      <c r="M116" s="28" t="s">
        <v>324</v>
      </c>
      <c r="N116" s="30"/>
      <c r="O116" s="31" t="n">
        <v>1</v>
      </c>
      <c r="P116" s="26" t="s">
        <v>28</v>
      </c>
      <c r="Q116" s="27"/>
    </row>
    <row r="117" customFormat="false" ht="15" hidden="false" customHeight="false" outlineLevel="0" collapsed="false">
      <c r="A117" s="28" t="s">
        <v>325</v>
      </c>
      <c r="B117" s="29" t="s">
        <v>32</v>
      </c>
      <c r="C117" s="29" t="n">
        <v>3</v>
      </c>
      <c r="D117" s="29" t="n">
        <v>118</v>
      </c>
      <c r="E117" s="29" t="n">
        <v>88</v>
      </c>
      <c r="F117" s="29" t="s">
        <v>150</v>
      </c>
      <c r="G117" s="29"/>
      <c r="H117" s="30" t="s">
        <v>326</v>
      </c>
      <c r="I117" s="29" t="n">
        <v>4</v>
      </c>
      <c r="J117" s="29" t="n">
        <v>9</v>
      </c>
      <c r="K117" s="29" t="n">
        <v>5</v>
      </c>
      <c r="L117" s="28" t="s">
        <v>152</v>
      </c>
      <c r="M117" s="28" t="s">
        <v>260</v>
      </c>
      <c r="N117" s="30"/>
      <c r="O117" s="31" t="n">
        <v>1</v>
      </c>
      <c r="P117" s="26" t="s">
        <v>28</v>
      </c>
      <c r="Q117" s="27"/>
    </row>
    <row r="118" customFormat="false" ht="15" hidden="false" customHeight="false" outlineLevel="0" collapsed="false">
      <c r="A118" s="28" t="s">
        <v>327</v>
      </c>
      <c r="B118" s="29" t="s">
        <v>32</v>
      </c>
      <c r="C118" s="29" t="n">
        <v>3</v>
      </c>
      <c r="D118" s="29" t="n">
        <v>118</v>
      </c>
      <c r="E118" s="29" t="n">
        <v>88</v>
      </c>
      <c r="F118" s="29" t="s">
        <v>150</v>
      </c>
      <c r="G118" s="29"/>
      <c r="H118" s="30" t="s">
        <v>328</v>
      </c>
      <c r="I118" s="29" t="n">
        <v>3</v>
      </c>
      <c r="J118" s="29" t="n">
        <v>9</v>
      </c>
      <c r="K118" s="29" t="n">
        <v>5</v>
      </c>
      <c r="L118" s="28" t="s">
        <v>152</v>
      </c>
      <c r="M118" s="28" t="s">
        <v>329</v>
      </c>
      <c r="N118" s="30"/>
      <c r="O118" s="31" t="n">
        <v>1</v>
      </c>
      <c r="P118" s="26" t="s">
        <v>28</v>
      </c>
      <c r="Q118" s="27"/>
    </row>
    <row r="119" customFormat="false" ht="15" hidden="false" customHeight="false" outlineLevel="0" collapsed="false">
      <c r="A119" s="28" t="s">
        <v>330</v>
      </c>
      <c r="B119" s="29" t="s">
        <v>32</v>
      </c>
      <c r="C119" s="29" t="n">
        <v>3</v>
      </c>
      <c r="D119" s="29" t="n">
        <v>118</v>
      </c>
      <c r="E119" s="29" t="n">
        <v>88</v>
      </c>
      <c r="F119" s="29" t="s">
        <v>150</v>
      </c>
      <c r="G119" s="29"/>
      <c r="H119" s="30" t="s">
        <v>331</v>
      </c>
      <c r="I119" s="29" t="n">
        <v>4</v>
      </c>
      <c r="J119" s="29" t="n">
        <v>9</v>
      </c>
      <c r="K119" s="29" t="n">
        <v>5</v>
      </c>
      <c r="L119" s="28" t="s">
        <v>166</v>
      </c>
      <c r="M119" s="28" t="s">
        <v>332</v>
      </c>
      <c r="N119" s="30"/>
      <c r="O119" s="31" t="n">
        <v>1</v>
      </c>
      <c r="P119" s="26" t="s">
        <v>28</v>
      </c>
      <c r="Q119" s="27"/>
    </row>
    <row r="120" customFormat="false" ht="15" hidden="false" customHeight="false" outlineLevel="0" collapsed="false">
      <c r="A120" s="28" t="s">
        <v>333</v>
      </c>
      <c r="B120" s="29" t="s">
        <v>32</v>
      </c>
      <c r="C120" s="29" t="n">
        <v>3</v>
      </c>
      <c r="D120" s="29" t="n">
        <v>118</v>
      </c>
      <c r="E120" s="29" t="n">
        <v>88</v>
      </c>
      <c r="F120" s="29" t="s">
        <v>150</v>
      </c>
      <c r="G120" s="29"/>
      <c r="H120" s="30" t="s">
        <v>334</v>
      </c>
      <c r="I120" s="29" t="n">
        <v>4</v>
      </c>
      <c r="J120" s="29" t="n">
        <v>9</v>
      </c>
      <c r="K120" s="29" t="n">
        <v>5</v>
      </c>
      <c r="L120" s="28" t="s">
        <v>152</v>
      </c>
      <c r="M120" s="28" t="s">
        <v>170</v>
      </c>
      <c r="N120" s="30"/>
      <c r="O120" s="31" t="n">
        <v>1</v>
      </c>
      <c r="P120" s="26" t="s">
        <v>28</v>
      </c>
      <c r="Q120" s="27"/>
    </row>
    <row r="121" customFormat="false" ht="15" hidden="false" customHeight="false" outlineLevel="0" collapsed="false">
      <c r="A121" s="28" t="s">
        <v>335</v>
      </c>
      <c r="B121" s="29" t="s">
        <v>32</v>
      </c>
      <c r="C121" s="29" t="n">
        <v>3</v>
      </c>
      <c r="D121" s="29" t="n">
        <v>118</v>
      </c>
      <c r="E121" s="29" t="n">
        <v>88</v>
      </c>
      <c r="F121" s="29" t="s">
        <v>150</v>
      </c>
      <c r="G121" s="29"/>
      <c r="H121" s="30" t="s">
        <v>336</v>
      </c>
      <c r="I121" s="29" t="n">
        <v>3</v>
      </c>
      <c r="J121" s="29" t="n">
        <v>9</v>
      </c>
      <c r="K121" s="29" t="n">
        <v>5</v>
      </c>
      <c r="L121" s="28" t="s">
        <v>159</v>
      </c>
      <c r="M121" s="28" t="s">
        <v>173</v>
      </c>
      <c r="N121" s="30"/>
      <c r="O121" s="31" t="n">
        <v>1</v>
      </c>
      <c r="P121" s="26" t="s">
        <v>28</v>
      </c>
      <c r="Q121" s="27"/>
    </row>
    <row r="122" customFormat="false" ht="15" hidden="false" customHeight="false" outlineLevel="0" collapsed="false">
      <c r="A122" s="28" t="s">
        <v>337</v>
      </c>
      <c r="B122" s="29" t="s">
        <v>32</v>
      </c>
      <c r="C122" s="29" t="n">
        <v>3</v>
      </c>
      <c r="D122" s="29" t="n">
        <v>118</v>
      </c>
      <c r="E122" s="29" t="n">
        <v>88</v>
      </c>
      <c r="F122" s="29" t="s">
        <v>150</v>
      </c>
      <c r="G122" s="29"/>
      <c r="H122" s="30" t="s">
        <v>338</v>
      </c>
      <c r="I122" s="29" t="n">
        <v>3</v>
      </c>
      <c r="J122" s="29" t="n">
        <v>9</v>
      </c>
      <c r="K122" s="29" t="n">
        <v>5</v>
      </c>
      <c r="L122" s="28" t="s">
        <v>152</v>
      </c>
      <c r="M122" s="28" t="s">
        <v>230</v>
      </c>
      <c r="N122" s="30"/>
      <c r="O122" s="31" t="n">
        <v>1</v>
      </c>
      <c r="P122" s="26" t="s">
        <v>28</v>
      </c>
      <c r="Q122" s="27"/>
    </row>
    <row r="123" customFormat="false" ht="15" hidden="false" customHeight="false" outlineLevel="0" collapsed="false">
      <c r="A123" s="28" t="s">
        <v>339</v>
      </c>
      <c r="B123" s="29" t="s">
        <v>32</v>
      </c>
      <c r="C123" s="29" t="n">
        <v>3</v>
      </c>
      <c r="D123" s="29" t="n">
        <v>118</v>
      </c>
      <c r="E123" s="29" t="n">
        <v>88</v>
      </c>
      <c r="F123" s="29" t="s">
        <v>150</v>
      </c>
      <c r="G123" s="29"/>
      <c r="H123" s="30" t="s">
        <v>340</v>
      </c>
      <c r="I123" s="29" t="n">
        <v>4</v>
      </c>
      <c r="J123" s="29" t="n">
        <v>9</v>
      </c>
      <c r="K123" s="29" t="n">
        <v>5</v>
      </c>
      <c r="L123" s="28" t="s">
        <v>152</v>
      </c>
      <c r="M123" s="28" t="s">
        <v>341</v>
      </c>
      <c r="N123" s="30"/>
      <c r="O123" s="31" t="n">
        <v>1</v>
      </c>
      <c r="P123" s="26" t="s">
        <v>28</v>
      </c>
      <c r="Q123" s="27"/>
    </row>
    <row r="124" customFormat="false" ht="15" hidden="false" customHeight="false" outlineLevel="0" collapsed="false">
      <c r="A124" s="28" t="s">
        <v>342</v>
      </c>
      <c r="B124" s="29" t="s">
        <v>32</v>
      </c>
      <c r="C124" s="29" t="n">
        <v>3</v>
      </c>
      <c r="D124" s="29" t="n">
        <v>118</v>
      </c>
      <c r="E124" s="29" t="n">
        <v>88</v>
      </c>
      <c r="F124" s="29" t="s">
        <v>150</v>
      </c>
      <c r="G124" s="29"/>
      <c r="H124" s="30" t="s">
        <v>343</v>
      </c>
      <c r="I124" s="29" t="n">
        <v>4</v>
      </c>
      <c r="J124" s="29" t="n">
        <v>10</v>
      </c>
      <c r="K124" s="29" t="n">
        <v>5</v>
      </c>
      <c r="L124" s="28" t="s">
        <v>152</v>
      </c>
      <c r="M124" s="28" t="s">
        <v>344</v>
      </c>
      <c r="N124" s="30"/>
      <c r="O124" s="31" t="n">
        <v>1</v>
      </c>
      <c r="P124" s="26" t="s">
        <v>28</v>
      </c>
      <c r="Q124" s="27"/>
    </row>
    <row r="125" customFormat="false" ht="15" hidden="false" customHeight="false" outlineLevel="0" collapsed="false">
      <c r="A125" s="28" t="s">
        <v>345</v>
      </c>
      <c r="B125" s="29" t="s">
        <v>32</v>
      </c>
      <c r="C125" s="29" t="n">
        <v>3</v>
      </c>
      <c r="D125" s="29" t="n">
        <v>118</v>
      </c>
      <c r="E125" s="29" t="n">
        <v>88</v>
      </c>
      <c r="F125" s="29" t="s">
        <v>150</v>
      </c>
      <c r="G125" s="29"/>
      <c r="H125" s="30" t="s">
        <v>346</v>
      </c>
      <c r="I125" s="29" t="n">
        <v>4</v>
      </c>
      <c r="J125" s="29" t="n">
        <v>10</v>
      </c>
      <c r="K125" s="29" t="n">
        <v>5</v>
      </c>
      <c r="L125" s="28" t="s">
        <v>166</v>
      </c>
      <c r="M125" s="28" t="s">
        <v>195</v>
      </c>
      <c r="N125" s="30"/>
      <c r="O125" s="31" t="n">
        <v>1</v>
      </c>
      <c r="P125" s="26" t="s">
        <v>28</v>
      </c>
      <c r="Q125" s="27"/>
    </row>
    <row r="126" customFormat="false" ht="15" hidden="false" customHeight="false" outlineLevel="0" collapsed="false">
      <c r="A126" s="28" t="s">
        <v>347</v>
      </c>
      <c r="B126" s="29" t="s">
        <v>32</v>
      </c>
      <c r="C126" s="29" t="n">
        <v>3</v>
      </c>
      <c r="D126" s="29" t="n">
        <v>118</v>
      </c>
      <c r="E126" s="29" t="n">
        <v>88</v>
      </c>
      <c r="F126" s="29" t="s">
        <v>150</v>
      </c>
      <c r="G126" s="29"/>
      <c r="H126" s="30" t="s">
        <v>348</v>
      </c>
      <c r="I126" s="29" t="n">
        <v>5</v>
      </c>
      <c r="J126" s="29" t="n">
        <v>10</v>
      </c>
      <c r="K126" s="29" t="n">
        <v>5</v>
      </c>
      <c r="L126" s="28" t="s">
        <v>166</v>
      </c>
      <c r="M126" s="28" t="s">
        <v>284</v>
      </c>
      <c r="N126" s="30"/>
      <c r="O126" s="31" t="n">
        <v>1</v>
      </c>
      <c r="P126" s="26" t="s">
        <v>28</v>
      </c>
      <c r="Q126" s="27"/>
    </row>
    <row r="127" customFormat="false" ht="15" hidden="false" customHeight="false" outlineLevel="0" collapsed="false">
      <c r="A127" s="28" t="s">
        <v>349</v>
      </c>
      <c r="B127" s="29" t="s">
        <v>32</v>
      </c>
      <c r="C127" s="29" t="n">
        <v>3</v>
      </c>
      <c r="D127" s="29" t="n">
        <v>118</v>
      </c>
      <c r="E127" s="29" t="n">
        <v>88</v>
      </c>
      <c r="F127" s="29" t="s">
        <v>150</v>
      </c>
      <c r="G127" s="29"/>
      <c r="H127" s="30" t="s">
        <v>350</v>
      </c>
      <c r="I127" s="29" t="n">
        <v>5</v>
      </c>
      <c r="J127" s="29" t="n">
        <v>10</v>
      </c>
      <c r="K127" s="29" t="n">
        <v>5</v>
      </c>
      <c r="L127" s="28" t="s">
        <v>166</v>
      </c>
      <c r="M127" s="28" t="s">
        <v>284</v>
      </c>
      <c r="N127" s="30"/>
      <c r="O127" s="31" t="n">
        <v>1</v>
      </c>
      <c r="P127" s="26" t="s">
        <v>28</v>
      </c>
      <c r="Q127" s="27"/>
    </row>
    <row r="128" customFormat="false" ht="15" hidden="false" customHeight="false" outlineLevel="0" collapsed="false">
      <c r="A128" s="28" t="s">
        <v>351</v>
      </c>
      <c r="B128" s="29" t="s">
        <v>32</v>
      </c>
      <c r="C128" s="29" t="n">
        <v>3</v>
      </c>
      <c r="D128" s="29" t="n">
        <v>118</v>
      </c>
      <c r="E128" s="29" t="n">
        <v>88</v>
      </c>
      <c r="F128" s="29" t="s">
        <v>150</v>
      </c>
      <c r="G128" s="29"/>
      <c r="H128" s="30" t="s">
        <v>352</v>
      </c>
      <c r="I128" s="29" t="n">
        <v>5</v>
      </c>
      <c r="J128" s="29" t="n">
        <v>10</v>
      </c>
      <c r="K128" s="29" t="n">
        <v>5</v>
      </c>
      <c r="L128" s="28" t="s">
        <v>166</v>
      </c>
      <c r="M128" s="28" t="s">
        <v>353</v>
      </c>
      <c r="N128" s="30"/>
      <c r="O128" s="31" t="n">
        <v>1</v>
      </c>
      <c r="P128" s="26" t="s">
        <v>28</v>
      </c>
      <c r="Q128" s="27"/>
    </row>
    <row r="129" customFormat="false" ht="15" hidden="false" customHeight="false" outlineLevel="0" collapsed="false">
      <c r="A129" s="28" t="s">
        <v>354</v>
      </c>
      <c r="B129" s="29" t="s">
        <v>32</v>
      </c>
      <c r="C129" s="29" t="n">
        <v>3</v>
      </c>
      <c r="D129" s="29" t="n">
        <v>118</v>
      </c>
      <c r="E129" s="29" t="n">
        <v>88</v>
      </c>
      <c r="F129" s="29" t="s">
        <v>150</v>
      </c>
      <c r="G129" s="29"/>
      <c r="H129" s="30" t="s">
        <v>355</v>
      </c>
      <c r="I129" s="29" t="n">
        <v>5</v>
      </c>
      <c r="J129" s="29" t="n">
        <v>10</v>
      </c>
      <c r="K129" s="29" t="n">
        <v>5</v>
      </c>
      <c r="L129" s="28" t="s">
        <v>159</v>
      </c>
      <c r="M129" s="28" t="s">
        <v>238</v>
      </c>
      <c r="N129" s="30"/>
      <c r="O129" s="31" t="n">
        <v>1</v>
      </c>
      <c r="P129" s="26" t="s">
        <v>28</v>
      </c>
      <c r="Q129" s="27"/>
    </row>
    <row r="130" customFormat="false" ht="15" hidden="false" customHeight="false" outlineLevel="0" collapsed="false">
      <c r="A130" s="28" t="s">
        <v>356</v>
      </c>
      <c r="B130" s="29" t="s">
        <v>32</v>
      </c>
      <c r="C130" s="29" t="n">
        <v>3</v>
      </c>
      <c r="D130" s="29" t="n">
        <v>118</v>
      </c>
      <c r="E130" s="29" t="n">
        <v>88</v>
      </c>
      <c r="F130" s="29" t="s">
        <v>150</v>
      </c>
      <c r="G130" s="29"/>
      <c r="H130" s="30" t="s">
        <v>357</v>
      </c>
      <c r="I130" s="29" t="n">
        <v>5</v>
      </c>
      <c r="J130" s="29" t="n">
        <v>10</v>
      </c>
      <c r="K130" s="29" t="n">
        <v>5</v>
      </c>
      <c r="L130" s="28" t="s">
        <v>159</v>
      </c>
      <c r="M130" s="28" t="s">
        <v>358</v>
      </c>
      <c r="N130" s="30"/>
      <c r="O130" s="31" t="n">
        <v>1</v>
      </c>
      <c r="P130" s="26" t="s">
        <v>28</v>
      </c>
      <c r="Q130" s="27"/>
    </row>
    <row r="131" customFormat="false" ht="15" hidden="false" customHeight="false" outlineLevel="0" collapsed="false">
      <c r="A131" s="28" t="s">
        <v>359</v>
      </c>
      <c r="B131" s="29" t="s">
        <v>32</v>
      </c>
      <c r="C131" s="29" t="n">
        <v>3</v>
      </c>
      <c r="D131" s="29" t="n">
        <v>118</v>
      </c>
      <c r="E131" s="29" t="n">
        <v>88</v>
      </c>
      <c r="F131" s="29" t="s">
        <v>150</v>
      </c>
      <c r="G131" s="29"/>
      <c r="H131" s="30" t="s">
        <v>360</v>
      </c>
      <c r="I131" s="29" t="n">
        <v>5</v>
      </c>
      <c r="J131" s="29" t="n">
        <v>10</v>
      </c>
      <c r="K131" s="29" t="n">
        <v>5</v>
      </c>
      <c r="L131" s="28" t="s">
        <v>179</v>
      </c>
      <c r="M131" s="28" t="s">
        <v>265</v>
      </c>
      <c r="N131" s="30"/>
      <c r="O131" s="31" t="n">
        <v>1</v>
      </c>
      <c r="P131" s="26" t="s">
        <v>28</v>
      </c>
      <c r="Q131" s="27"/>
    </row>
    <row r="132" customFormat="false" ht="15" hidden="false" customHeight="false" outlineLevel="0" collapsed="false">
      <c r="A132" s="28" t="s">
        <v>361</v>
      </c>
      <c r="B132" s="29" t="s">
        <v>32</v>
      </c>
      <c r="C132" s="29" t="n">
        <v>3</v>
      </c>
      <c r="D132" s="29" t="n">
        <v>118</v>
      </c>
      <c r="E132" s="29" t="n">
        <v>88</v>
      </c>
      <c r="F132" s="29" t="s">
        <v>150</v>
      </c>
      <c r="G132" s="29"/>
      <c r="H132" s="30" t="s">
        <v>362</v>
      </c>
      <c r="I132" s="29" t="n">
        <v>4</v>
      </c>
      <c r="J132" s="29" t="n">
        <v>10</v>
      </c>
      <c r="K132" s="29" t="n">
        <v>5</v>
      </c>
      <c r="L132" s="28" t="s">
        <v>179</v>
      </c>
      <c r="M132" s="28" t="s">
        <v>183</v>
      </c>
      <c r="N132" s="30"/>
      <c r="O132" s="31" t="n">
        <v>1</v>
      </c>
      <c r="P132" s="26" t="s">
        <v>28</v>
      </c>
      <c r="Q132" s="27"/>
    </row>
    <row r="133" customFormat="false" ht="15" hidden="false" customHeight="false" outlineLevel="0" collapsed="false">
      <c r="A133" s="28" t="s">
        <v>363</v>
      </c>
      <c r="B133" s="29" t="s">
        <v>32</v>
      </c>
      <c r="C133" s="29" t="n">
        <v>3</v>
      </c>
      <c r="D133" s="29" t="n">
        <v>118</v>
      </c>
      <c r="E133" s="29" t="n">
        <v>88</v>
      </c>
      <c r="F133" s="29" t="s">
        <v>150</v>
      </c>
      <c r="G133" s="29"/>
      <c r="H133" s="30" t="s">
        <v>364</v>
      </c>
      <c r="I133" s="29" t="n">
        <v>4</v>
      </c>
      <c r="J133" s="29" t="n">
        <v>10</v>
      </c>
      <c r="K133" s="29" t="n">
        <v>5</v>
      </c>
      <c r="L133" s="28" t="s">
        <v>152</v>
      </c>
      <c r="M133" s="28" t="s">
        <v>341</v>
      </c>
      <c r="N133" s="30"/>
      <c r="O133" s="31" t="n">
        <v>1</v>
      </c>
      <c r="P133" s="26" t="s">
        <v>28</v>
      </c>
      <c r="Q133" s="27"/>
    </row>
    <row r="134" customFormat="false" ht="15" hidden="false" customHeight="false" outlineLevel="0" collapsed="false">
      <c r="A134" s="28" t="s">
        <v>365</v>
      </c>
      <c r="B134" s="29" t="s">
        <v>32</v>
      </c>
      <c r="C134" s="29" t="n">
        <v>3</v>
      </c>
      <c r="D134" s="29" t="n">
        <v>118</v>
      </c>
      <c r="E134" s="29" t="n">
        <v>88</v>
      </c>
      <c r="F134" s="29" t="s">
        <v>150</v>
      </c>
      <c r="G134" s="29"/>
      <c r="H134" s="30" t="s">
        <v>366</v>
      </c>
      <c r="I134" s="29" t="n">
        <v>3</v>
      </c>
      <c r="J134" s="29" t="n">
        <v>10</v>
      </c>
      <c r="K134" s="29" t="n">
        <v>5</v>
      </c>
      <c r="L134" s="28" t="s">
        <v>179</v>
      </c>
      <c r="M134" s="28" t="s">
        <v>289</v>
      </c>
      <c r="N134" s="30"/>
      <c r="O134" s="31" t="n">
        <v>1</v>
      </c>
      <c r="P134" s="26" t="s">
        <v>28</v>
      </c>
      <c r="Q134" s="27"/>
    </row>
    <row r="135" customFormat="false" ht="15" hidden="false" customHeight="false" outlineLevel="0" collapsed="false">
      <c r="A135" s="28" t="s">
        <v>367</v>
      </c>
      <c r="B135" s="29" t="s">
        <v>32</v>
      </c>
      <c r="C135" s="29" t="n">
        <v>3</v>
      </c>
      <c r="D135" s="29" t="n">
        <v>118</v>
      </c>
      <c r="E135" s="29" t="n">
        <v>88</v>
      </c>
      <c r="F135" s="29" t="s">
        <v>150</v>
      </c>
      <c r="G135" s="29"/>
      <c r="H135" s="30" t="s">
        <v>368</v>
      </c>
      <c r="I135" s="29" t="n">
        <v>4</v>
      </c>
      <c r="J135" s="29" t="n">
        <v>10</v>
      </c>
      <c r="K135" s="29" t="n">
        <v>5</v>
      </c>
      <c r="L135" s="28" t="s">
        <v>152</v>
      </c>
      <c r="M135" s="28" t="s">
        <v>341</v>
      </c>
      <c r="N135" s="30"/>
      <c r="O135" s="31" t="n">
        <v>1</v>
      </c>
      <c r="P135" s="26" t="s">
        <v>28</v>
      </c>
      <c r="Q135" s="27"/>
    </row>
    <row r="136" customFormat="false" ht="15" hidden="false" customHeight="false" outlineLevel="0" collapsed="false">
      <c r="A136" s="28" t="s">
        <v>369</v>
      </c>
      <c r="B136" s="29" t="s">
        <v>32</v>
      </c>
      <c r="C136" s="29" t="n">
        <v>3</v>
      </c>
      <c r="D136" s="29" t="n">
        <v>118</v>
      </c>
      <c r="E136" s="29" t="n">
        <v>88</v>
      </c>
      <c r="F136" s="29" t="s">
        <v>150</v>
      </c>
      <c r="G136" s="29"/>
      <c r="H136" s="30" t="s">
        <v>370</v>
      </c>
      <c r="I136" s="29" t="n">
        <v>5</v>
      </c>
      <c r="J136" s="29" t="n">
        <v>11</v>
      </c>
      <c r="K136" s="29" t="n">
        <v>6</v>
      </c>
      <c r="L136" s="28" t="s">
        <v>166</v>
      </c>
      <c r="M136" s="28" t="s">
        <v>198</v>
      </c>
      <c r="N136" s="30"/>
      <c r="O136" s="31" t="n">
        <v>1</v>
      </c>
      <c r="P136" s="26" t="s">
        <v>28</v>
      </c>
      <c r="Q136" s="27"/>
    </row>
    <row r="137" customFormat="false" ht="15" hidden="false" customHeight="false" outlineLevel="0" collapsed="false">
      <c r="A137" s="28" t="s">
        <v>371</v>
      </c>
      <c r="B137" s="29" t="s">
        <v>32</v>
      </c>
      <c r="C137" s="29" t="n">
        <v>3</v>
      </c>
      <c r="D137" s="29" t="n">
        <v>118</v>
      </c>
      <c r="E137" s="29" t="n">
        <v>88</v>
      </c>
      <c r="F137" s="29" t="s">
        <v>150</v>
      </c>
      <c r="G137" s="29"/>
      <c r="H137" s="30" t="s">
        <v>372</v>
      </c>
      <c r="I137" s="29" t="n">
        <v>5</v>
      </c>
      <c r="J137" s="29" t="n">
        <v>11</v>
      </c>
      <c r="K137" s="29" t="n">
        <v>6</v>
      </c>
      <c r="L137" s="28" t="s">
        <v>166</v>
      </c>
      <c r="M137" s="28" t="s">
        <v>353</v>
      </c>
      <c r="N137" s="30"/>
      <c r="O137" s="31" t="n">
        <v>1</v>
      </c>
      <c r="P137" s="26" t="s">
        <v>28</v>
      </c>
      <c r="Q137" s="27"/>
    </row>
    <row r="138" customFormat="false" ht="15" hidden="false" customHeight="false" outlineLevel="0" collapsed="false">
      <c r="A138" s="28" t="s">
        <v>373</v>
      </c>
      <c r="B138" s="29" t="s">
        <v>32</v>
      </c>
      <c r="C138" s="29" t="n">
        <v>3</v>
      </c>
      <c r="D138" s="29" t="n">
        <v>118</v>
      </c>
      <c r="E138" s="29" t="n">
        <v>88</v>
      </c>
      <c r="F138" s="29" t="s">
        <v>150</v>
      </c>
      <c r="G138" s="29"/>
      <c r="H138" s="30" t="s">
        <v>374</v>
      </c>
      <c r="I138" s="29" t="n">
        <v>5</v>
      </c>
      <c r="J138" s="29" t="n">
        <v>11</v>
      </c>
      <c r="K138" s="29" t="n">
        <v>6</v>
      </c>
      <c r="L138" s="28" t="s">
        <v>159</v>
      </c>
      <c r="M138" s="28" t="s">
        <v>248</v>
      </c>
      <c r="N138" s="30"/>
      <c r="O138" s="31" t="n">
        <v>1</v>
      </c>
      <c r="P138" s="26" t="s">
        <v>28</v>
      </c>
      <c r="Q138" s="27"/>
    </row>
    <row r="139" customFormat="false" ht="15" hidden="false" customHeight="false" outlineLevel="0" collapsed="false">
      <c r="A139" s="28" t="s">
        <v>375</v>
      </c>
      <c r="B139" s="29" t="s">
        <v>32</v>
      </c>
      <c r="C139" s="29" t="n">
        <v>3</v>
      </c>
      <c r="D139" s="29" t="n">
        <v>118</v>
      </c>
      <c r="E139" s="29" t="n">
        <v>88</v>
      </c>
      <c r="F139" s="29" t="s">
        <v>150</v>
      </c>
      <c r="G139" s="29"/>
      <c r="H139" s="30" t="s">
        <v>376</v>
      </c>
      <c r="I139" s="29" t="n">
        <v>5</v>
      </c>
      <c r="J139" s="29" t="n">
        <v>11</v>
      </c>
      <c r="K139" s="29" t="n">
        <v>6</v>
      </c>
      <c r="L139" s="28" t="s">
        <v>159</v>
      </c>
      <c r="M139" s="28" t="s">
        <v>248</v>
      </c>
      <c r="N139" s="30"/>
      <c r="O139" s="31" t="n">
        <v>1</v>
      </c>
      <c r="P139" s="26" t="s">
        <v>28</v>
      </c>
      <c r="Q139" s="27"/>
    </row>
    <row r="140" customFormat="false" ht="15" hidden="false" customHeight="false" outlineLevel="0" collapsed="false">
      <c r="A140" s="28" t="s">
        <v>377</v>
      </c>
      <c r="B140" s="29" t="s">
        <v>32</v>
      </c>
      <c r="C140" s="29" t="n">
        <v>3</v>
      </c>
      <c r="D140" s="29" t="n">
        <v>118</v>
      </c>
      <c r="E140" s="29" t="n">
        <v>88</v>
      </c>
      <c r="F140" s="29" t="s">
        <v>150</v>
      </c>
      <c r="G140" s="29"/>
      <c r="H140" s="30" t="s">
        <v>378</v>
      </c>
      <c r="I140" s="29" t="n">
        <v>5</v>
      </c>
      <c r="J140" s="29" t="n">
        <v>11</v>
      </c>
      <c r="K140" s="29" t="n">
        <v>6</v>
      </c>
      <c r="L140" s="28" t="s">
        <v>179</v>
      </c>
      <c r="M140" s="28" t="s">
        <v>379</v>
      </c>
      <c r="N140" s="30"/>
      <c r="O140" s="31" t="n">
        <v>1</v>
      </c>
      <c r="P140" s="26" t="s">
        <v>28</v>
      </c>
      <c r="Q140" s="27"/>
    </row>
    <row r="141" customFormat="false" ht="15" hidden="false" customHeight="false" outlineLevel="0" collapsed="false">
      <c r="A141" s="28" t="s">
        <v>380</v>
      </c>
      <c r="B141" s="29" t="s">
        <v>32</v>
      </c>
      <c r="C141" s="29" t="n">
        <v>3</v>
      </c>
      <c r="D141" s="29" t="n">
        <v>118</v>
      </c>
      <c r="E141" s="29" t="n">
        <v>88</v>
      </c>
      <c r="F141" s="29" t="s">
        <v>150</v>
      </c>
      <c r="G141" s="29"/>
      <c r="H141" s="30" t="s">
        <v>381</v>
      </c>
      <c r="I141" s="29" t="n">
        <v>5</v>
      </c>
      <c r="J141" s="29" t="n">
        <v>11</v>
      </c>
      <c r="K141" s="29" t="n">
        <v>6</v>
      </c>
      <c r="L141" s="28" t="s">
        <v>179</v>
      </c>
      <c r="M141" s="28" t="s">
        <v>382</v>
      </c>
      <c r="N141" s="30"/>
      <c r="O141" s="31" t="n">
        <v>1</v>
      </c>
      <c r="P141" s="26" t="s">
        <v>28</v>
      </c>
      <c r="Q141" s="27"/>
    </row>
    <row r="142" customFormat="false" ht="15" hidden="false" customHeight="false" outlineLevel="0" collapsed="false">
      <c r="A142" s="28" t="s">
        <v>383</v>
      </c>
      <c r="B142" s="29" t="s">
        <v>32</v>
      </c>
      <c r="C142" s="29" t="n">
        <v>4</v>
      </c>
      <c r="D142" s="29" t="n">
        <v>129</v>
      </c>
      <c r="E142" s="29" t="n">
        <v>88</v>
      </c>
      <c r="F142" s="29" t="s">
        <v>150</v>
      </c>
      <c r="G142" s="29"/>
      <c r="H142" s="30" t="s">
        <v>384</v>
      </c>
      <c r="I142" s="29" t="n">
        <v>5</v>
      </c>
      <c r="J142" s="29" t="n">
        <v>11</v>
      </c>
      <c r="K142" s="29" t="n">
        <v>5</v>
      </c>
      <c r="L142" s="28" t="s">
        <v>179</v>
      </c>
      <c r="M142" s="28" t="s">
        <v>265</v>
      </c>
      <c r="N142" s="30"/>
      <c r="O142" s="31" t="n">
        <v>1</v>
      </c>
      <c r="P142" s="26" t="s">
        <v>28</v>
      </c>
      <c r="Q142" s="27"/>
    </row>
    <row r="143" customFormat="false" ht="15" hidden="false" customHeight="false" outlineLevel="0" collapsed="false">
      <c r="A143" s="28" t="s">
        <v>385</v>
      </c>
      <c r="B143" s="29" t="s">
        <v>32</v>
      </c>
      <c r="C143" s="29" t="n">
        <v>4</v>
      </c>
      <c r="D143" s="29" t="n">
        <v>129</v>
      </c>
      <c r="E143" s="29" t="n">
        <v>88</v>
      </c>
      <c r="F143" s="29" t="s">
        <v>150</v>
      </c>
      <c r="G143" s="29"/>
      <c r="H143" s="30" t="s">
        <v>386</v>
      </c>
      <c r="I143" s="29" t="n">
        <v>5</v>
      </c>
      <c r="J143" s="29" t="n">
        <v>11</v>
      </c>
      <c r="K143" s="29" t="n">
        <v>5</v>
      </c>
      <c r="L143" s="28" t="s">
        <v>179</v>
      </c>
      <c r="M143" s="28" t="s">
        <v>295</v>
      </c>
      <c r="N143" s="30"/>
      <c r="O143" s="31" t="n">
        <v>1</v>
      </c>
      <c r="P143" s="26" t="s">
        <v>28</v>
      </c>
      <c r="Q143" s="27"/>
    </row>
    <row r="144" customFormat="false" ht="15" hidden="false" customHeight="false" outlineLevel="0" collapsed="false">
      <c r="A144" s="28" t="s">
        <v>387</v>
      </c>
      <c r="B144" s="29" t="s">
        <v>32</v>
      </c>
      <c r="C144" s="29" t="n">
        <v>4</v>
      </c>
      <c r="D144" s="29" t="n">
        <v>129</v>
      </c>
      <c r="E144" s="29" t="n">
        <v>88</v>
      </c>
      <c r="F144" s="29" t="s">
        <v>150</v>
      </c>
      <c r="G144" s="29"/>
      <c r="H144" s="30" t="s">
        <v>388</v>
      </c>
      <c r="I144" s="29" t="n">
        <v>4</v>
      </c>
      <c r="J144" s="29" t="n">
        <v>11</v>
      </c>
      <c r="K144" s="29" t="n">
        <v>5</v>
      </c>
      <c r="L144" s="28" t="s">
        <v>152</v>
      </c>
      <c r="M144" s="28" t="s">
        <v>230</v>
      </c>
      <c r="N144" s="30"/>
      <c r="O144" s="31" t="n">
        <v>1</v>
      </c>
      <c r="P144" s="26" t="s">
        <v>28</v>
      </c>
      <c r="Q144" s="27"/>
    </row>
    <row r="145" customFormat="false" ht="15" hidden="false" customHeight="false" outlineLevel="0" collapsed="false">
      <c r="A145" s="28" t="s">
        <v>389</v>
      </c>
      <c r="B145" s="29" t="s">
        <v>32</v>
      </c>
      <c r="C145" s="29" t="n">
        <v>4</v>
      </c>
      <c r="D145" s="29" t="n">
        <v>129</v>
      </c>
      <c r="E145" s="29" t="n">
        <v>88</v>
      </c>
      <c r="F145" s="29" t="s">
        <v>150</v>
      </c>
      <c r="G145" s="29"/>
      <c r="H145" s="30" t="s">
        <v>390</v>
      </c>
      <c r="I145" s="29" t="n">
        <v>6</v>
      </c>
      <c r="J145" s="29" t="n">
        <v>11</v>
      </c>
      <c r="K145" s="29" t="n">
        <v>5</v>
      </c>
      <c r="L145" s="28" t="s">
        <v>152</v>
      </c>
      <c r="M145" s="28" t="s">
        <v>260</v>
      </c>
      <c r="N145" s="30"/>
      <c r="O145" s="31" t="n">
        <v>1</v>
      </c>
      <c r="P145" s="26" t="s">
        <v>28</v>
      </c>
      <c r="Q145" s="27"/>
    </row>
    <row r="146" customFormat="false" ht="15" hidden="false" customHeight="false" outlineLevel="0" collapsed="false">
      <c r="A146" s="28" t="s">
        <v>391</v>
      </c>
      <c r="B146" s="29" t="s">
        <v>32</v>
      </c>
      <c r="C146" s="29" t="n">
        <v>4</v>
      </c>
      <c r="D146" s="29" t="n">
        <v>129</v>
      </c>
      <c r="E146" s="29" t="n">
        <v>88</v>
      </c>
      <c r="F146" s="29" t="s">
        <v>150</v>
      </c>
      <c r="G146" s="29"/>
      <c r="H146" s="30" t="s">
        <v>392</v>
      </c>
      <c r="I146" s="29" t="n">
        <v>4</v>
      </c>
      <c r="J146" s="29" t="n">
        <v>11</v>
      </c>
      <c r="K146" s="29" t="n">
        <v>5</v>
      </c>
      <c r="L146" s="28" t="s">
        <v>152</v>
      </c>
      <c r="M146" s="28" t="s">
        <v>393</v>
      </c>
      <c r="N146" s="30"/>
      <c r="O146" s="31" t="n">
        <v>1</v>
      </c>
      <c r="P146" s="26" t="s">
        <v>28</v>
      </c>
      <c r="Q146" s="27"/>
    </row>
    <row r="147" customFormat="false" ht="15" hidden="false" customHeight="false" outlineLevel="0" collapsed="false">
      <c r="A147" s="28" t="s">
        <v>394</v>
      </c>
      <c r="B147" s="29" t="s">
        <v>32</v>
      </c>
      <c r="C147" s="29" t="n">
        <v>4</v>
      </c>
      <c r="D147" s="29" t="n">
        <v>129</v>
      </c>
      <c r="E147" s="29" t="n">
        <v>88</v>
      </c>
      <c r="F147" s="29" t="s">
        <v>150</v>
      </c>
      <c r="G147" s="29"/>
      <c r="H147" s="30" t="s">
        <v>395</v>
      </c>
      <c r="I147" s="29" t="n">
        <v>5</v>
      </c>
      <c r="J147" s="29" t="n">
        <v>11</v>
      </c>
      <c r="K147" s="29" t="n">
        <v>5</v>
      </c>
      <c r="L147" s="28" t="s">
        <v>152</v>
      </c>
      <c r="M147" s="28" t="s">
        <v>396</v>
      </c>
      <c r="N147" s="30"/>
      <c r="O147" s="31" t="n">
        <v>1</v>
      </c>
      <c r="P147" s="26" t="s">
        <v>28</v>
      </c>
      <c r="Q147" s="27"/>
    </row>
    <row r="148" customFormat="false" ht="15" hidden="false" customHeight="false" outlineLevel="0" collapsed="false">
      <c r="A148" s="28" t="s">
        <v>397</v>
      </c>
      <c r="B148" s="29" t="s">
        <v>32</v>
      </c>
      <c r="C148" s="29" t="n">
        <v>4</v>
      </c>
      <c r="D148" s="29" t="n">
        <v>129</v>
      </c>
      <c r="E148" s="29" t="n">
        <v>88</v>
      </c>
      <c r="F148" s="29" t="s">
        <v>150</v>
      </c>
      <c r="G148" s="29"/>
      <c r="H148" s="30" t="s">
        <v>398</v>
      </c>
      <c r="I148" s="29" t="n">
        <v>5</v>
      </c>
      <c r="J148" s="29" t="n">
        <v>11</v>
      </c>
      <c r="K148" s="29" t="n">
        <v>5</v>
      </c>
      <c r="L148" s="28" t="s">
        <v>152</v>
      </c>
      <c r="M148" s="28" t="s">
        <v>230</v>
      </c>
      <c r="N148" s="30"/>
      <c r="O148" s="31" t="n">
        <v>1</v>
      </c>
      <c r="P148" s="26" t="s">
        <v>28</v>
      </c>
      <c r="Q148" s="27"/>
    </row>
    <row r="149" customFormat="false" ht="15" hidden="false" customHeight="false" outlineLevel="0" collapsed="false">
      <c r="A149" s="28" t="s">
        <v>399</v>
      </c>
      <c r="B149" s="29" t="s">
        <v>32</v>
      </c>
      <c r="C149" s="29" t="n">
        <v>4</v>
      </c>
      <c r="D149" s="29" t="n">
        <v>129</v>
      </c>
      <c r="E149" s="29" t="n">
        <v>88</v>
      </c>
      <c r="F149" s="29" t="s">
        <v>150</v>
      </c>
      <c r="G149" s="29"/>
      <c r="H149" s="30" t="s">
        <v>400</v>
      </c>
      <c r="I149" s="29" t="n">
        <v>5</v>
      </c>
      <c r="J149" s="29" t="n">
        <v>11</v>
      </c>
      <c r="K149" s="29" t="n">
        <v>5</v>
      </c>
      <c r="L149" s="28" t="s">
        <v>152</v>
      </c>
      <c r="M149" s="28" t="s">
        <v>396</v>
      </c>
      <c r="N149" s="30"/>
      <c r="O149" s="31" t="n">
        <v>1</v>
      </c>
      <c r="P149" s="26" t="s">
        <v>28</v>
      </c>
      <c r="Q149" s="27"/>
    </row>
    <row r="150" customFormat="false" ht="15" hidden="false" customHeight="false" outlineLevel="0" collapsed="false">
      <c r="A150" s="28" t="s">
        <v>401</v>
      </c>
      <c r="B150" s="29" t="s">
        <v>32</v>
      </c>
      <c r="C150" s="29" t="n">
        <v>4</v>
      </c>
      <c r="D150" s="29" t="n">
        <v>129</v>
      </c>
      <c r="E150" s="29" t="n">
        <v>88</v>
      </c>
      <c r="F150" s="29" t="s">
        <v>150</v>
      </c>
      <c r="G150" s="29"/>
      <c r="H150" s="30" t="s">
        <v>402</v>
      </c>
      <c r="I150" s="29" t="n">
        <v>5</v>
      </c>
      <c r="J150" s="29" t="n">
        <v>11</v>
      </c>
      <c r="K150" s="29" t="n">
        <v>5</v>
      </c>
      <c r="L150" s="28" t="s">
        <v>166</v>
      </c>
      <c r="M150" s="28" t="s">
        <v>314</v>
      </c>
      <c r="N150" s="30"/>
      <c r="O150" s="31" t="n">
        <v>1</v>
      </c>
      <c r="P150" s="26" t="s">
        <v>28</v>
      </c>
      <c r="Q150" s="27"/>
    </row>
    <row r="151" customFormat="false" ht="15" hidden="false" customHeight="false" outlineLevel="0" collapsed="false">
      <c r="A151" s="28" t="s">
        <v>403</v>
      </c>
      <c r="B151" s="29" t="s">
        <v>32</v>
      </c>
      <c r="C151" s="29" t="n">
        <v>4</v>
      </c>
      <c r="D151" s="29" t="n">
        <v>129</v>
      </c>
      <c r="E151" s="29" t="n">
        <v>88</v>
      </c>
      <c r="F151" s="29" t="s">
        <v>150</v>
      </c>
      <c r="G151" s="29"/>
      <c r="H151" s="30" t="s">
        <v>404</v>
      </c>
      <c r="I151" s="29" t="n">
        <v>6</v>
      </c>
      <c r="J151" s="29" t="n">
        <v>11</v>
      </c>
      <c r="K151" s="29" t="n">
        <v>5</v>
      </c>
      <c r="L151" s="28" t="s">
        <v>179</v>
      </c>
      <c r="M151" s="28" t="s">
        <v>405</v>
      </c>
      <c r="N151" s="30"/>
      <c r="O151" s="31" t="n">
        <v>1</v>
      </c>
      <c r="P151" s="26" t="s">
        <v>28</v>
      </c>
      <c r="Q151" s="27"/>
    </row>
    <row r="152" customFormat="false" ht="15" hidden="false" customHeight="false" outlineLevel="0" collapsed="false">
      <c r="A152" s="28" t="s">
        <v>406</v>
      </c>
      <c r="B152" s="29" t="s">
        <v>32</v>
      </c>
      <c r="C152" s="29" t="n">
        <v>4</v>
      </c>
      <c r="D152" s="29" t="n">
        <v>129</v>
      </c>
      <c r="E152" s="29" t="n">
        <v>88</v>
      </c>
      <c r="F152" s="29" t="s">
        <v>150</v>
      </c>
      <c r="G152" s="29"/>
      <c r="H152" s="30" t="s">
        <v>407</v>
      </c>
      <c r="I152" s="29" t="n">
        <v>3</v>
      </c>
      <c r="J152" s="29" t="n">
        <v>11</v>
      </c>
      <c r="K152" s="29" t="n">
        <v>5</v>
      </c>
      <c r="L152" s="28" t="s">
        <v>179</v>
      </c>
      <c r="M152" s="28" t="s">
        <v>245</v>
      </c>
      <c r="N152" s="30"/>
      <c r="O152" s="31" t="n">
        <v>1</v>
      </c>
      <c r="P152" s="26" t="s">
        <v>28</v>
      </c>
      <c r="Q152" s="27"/>
    </row>
    <row r="153" customFormat="false" ht="15" hidden="false" customHeight="false" outlineLevel="0" collapsed="false">
      <c r="A153" s="28" t="s">
        <v>408</v>
      </c>
      <c r="B153" s="29" t="s">
        <v>32</v>
      </c>
      <c r="C153" s="29" t="n">
        <v>4</v>
      </c>
      <c r="D153" s="29" t="n">
        <v>129</v>
      </c>
      <c r="E153" s="29" t="n">
        <v>88</v>
      </c>
      <c r="F153" s="29" t="s">
        <v>150</v>
      </c>
      <c r="G153" s="29"/>
      <c r="H153" s="30" t="s">
        <v>409</v>
      </c>
      <c r="I153" s="29" t="n">
        <v>5</v>
      </c>
      <c r="J153" s="29" t="n">
        <v>12</v>
      </c>
      <c r="K153" s="29" t="n">
        <v>6</v>
      </c>
      <c r="L153" s="28" t="s">
        <v>166</v>
      </c>
      <c r="M153" s="28" t="s">
        <v>198</v>
      </c>
      <c r="N153" s="30"/>
      <c r="O153" s="31" t="n">
        <v>1</v>
      </c>
      <c r="P153" s="26" t="s">
        <v>28</v>
      </c>
      <c r="Q153" s="27"/>
    </row>
    <row r="154" customFormat="false" ht="15" hidden="false" customHeight="false" outlineLevel="0" collapsed="false">
      <c r="A154" s="28" t="s">
        <v>410</v>
      </c>
      <c r="B154" s="29" t="s">
        <v>32</v>
      </c>
      <c r="C154" s="29" t="n">
        <v>4</v>
      </c>
      <c r="D154" s="29" t="n">
        <v>129</v>
      </c>
      <c r="E154" s="29" t="n">
        <v>88</v>
      </c>
      <c r="F154" s="29" t="s">
        <v>150</v>
      </c>
      <c r="G154" s="29"/>
      <c r="H154" s="30" t="s">
        <v>411</v>
      </c>
      <c r="I154" s="29" t="n">
        <v>5</v>
      </c>
      <c r="J154" s="29" t="n">
        <v>12</v>
      </c>
      <c r="K154" s="29" t="n">
        <v>6</v>
      </c>
      <c r="L154" s="28" t="s">
        <v>166</v>
      </c>
      <c r="M154" s="28" t="s">
        <v>198</v>
      </c>
      <c r="N154" s="30"/>
      <c r="O154" s="31" t="n">
        <v>1</v>
      </c>
      <c r="P154" s="26" t="s">
        <v>28</v>
      </c>
      <c r="Q154" s="27"/>
    </row>
    <row r="155" customFormat="false" ht="15" hidden="false" customHeight="false" outlineLevel="0" collapsed="false">
      <c r="A155" s="28" t="s">
        <v>412</v>
      </c>
      <c r="B155" s="29" t="s">
        <v>32</v>
      </c>
      <c r="C155" s="29" t="n">
        <v>4</v>
      </c>
      <c r="D155" s="29" t="n">
        <v>129</v>
      </c>
      <c r="E155" s="29" t="n">
        <v>88</v>
      </c>
      <c r="F155" s="29" t="s">
        <v>150</v>
      </c>
      <c r="G155" s="29"/>
      <c r="H155" s="30" t="s">
        <v>413</v>
      </c>
      <c r="I155" s="29" t="n">
        <v>6</v>
      </c>
      <c r="J155" s="29" t="n">
        <v>12</v>
      </c>
      <c r="K155" s="29" t="n">
        <v>6</v>
      </c>
      <c r="L155" s="28" t="s">
        <v>166</v>
      </c>
      <c r="M155" s="28" t="s">
        <v>195</v>
      </c>
      <c r="N155" s="30"/>
      <c r="O155" s="31" t="n">
        <v>1</v>
      </c>
      <c r="P155" s="26" t="s">
        <v>28</v>
      </c>
      <c r="Q155" s="27"/>
    </row>
    <row r="156" customFormat="false" ht="15" hidden="false" customHeight="false" outlineLevel="0" collapsed="false">
      <c r="A156" s="28" t="s">
        <v>414</v>
      </c>
      <c r="B156" s="29" t="s">
        <v>32</v>
      </c>
      <c r="C156" s="29" t="n">
        <v>4</v>
      </c>
      <c r="D156" s="29" t="n">
        <v>129</v>
      </c>
      <c r="E156" s="29" t="n">
        <v>88</v>
      </c>
      <c r="F156" s="29" t="s">
        <v>150</v>
      </c>
      <c r="G156" s="29"/>
      <c r="H156" s="30" t="s">
        <v>415</v>
      </c>
      <c r="I156" s="29" t="n">
        <v>6</v>
      </c>
      <c r="J156" s="29" t="n">
        <v>12</v>
      </c>
      <c r="K156" s="29" t="n">
        <v>6</v>
      </c>
      <c r="L156" s="28" t="s">
        <v>166</v>
      </c>
      <c r="M156" s="28" t="s">
        <v>284</v>
      </c>
      <c r="N156" s="30"/>
      <c r="O156" s="31" t="n">
        <v>1</v>
      </c>
      <c r="P156" s="26" t="s">
        <v>28</v>
      </c>
      <c r="Q156" s="27"/>
    </row>
    <row r="157" customFormat="false" ht="15" hidden="false" customHeight="false" outlineLevel="0" collapsed="false">
      <c r="A157" s="28" t="s">
        <v>416</v>
      </c>
      <c r="B157" s="29" t="s">
        <v>32</v>
      </c>
      <c r="C157" s="29" t="n">
        <v>4</v>
      </c>
      <c r="D157" s="29" t="n">
        <v>129</v>
      </c>
      <c r="E157" s="29" t="n">
        <v>88</v>
      </c>
      <c r="F157" s="29" t="s">
        <v>150</v>
      </c>
      <c r="G157" s="29"/>
      <c r="H157" s="30" t="s">
        <v>417</v>
      </c>
      <c r="I157" s="29" t="n">
        <v>6</v>
      </c>
      <c r="J157" s="29" t="n">
        <v>12</v>
      </c>
      <c r="K157" s="29" t="n">
        <v>6</v>
      </c>
      <c r="L157" s="28" t="s">
        <v>186</v>
      </c>
      <c r="M157" s="28" t="s">
        <v>418</v>
      </c>
      <c r="N157" s="30"/>
      <c r="O157" s="31" t="n">
        <v>1</v>
      </c>
      <c r="P157" s="26" t="s">
        <v>28</v>
      </c>
      <c r="Q157" s="27"/>
    </row>
    <row r="158" customFormat="false" ht="15" hidden="false" customHeight="false" outlineLevel="0" collapsed="false">
      <c r="A158" s="28" t="s">
        <v>419</v>
      </c>
      <c r="B158" s="29" t="s">
        <v>32</v>
      </c>
      <c r="C158" s="29" t="n">
        <v>4</v>
      </c>
      <c r="D158" s="29" t="n">
        <v>129</v>
      </c>
      <c r="E158" s="29" t="n">
        <v>88</v>
      </c>
      <c r="F158" s="29" t="s">
        <v>150</v>
      </c>
      <c r="G158" s="29"/>
      <c r="H158" s="30" t="s">
        <v>420</v>
      </c>
      <c r="I158" s="29" t="n">
        <v>6</v>
      </c>
      <c r="J158" s="29" t="n">
        <v>12</v>
      </c>
      <c r="K158" s="29" t="n">
        <v>6</v>
      </c>
      <c r="L158" s="28" t="s">
        <v>159</v>
      </c>
      <c r="M158" s="28" t="s">
        <v>358</v>
      </c>
      <c r="N158" s="30"/>
      <c r="O158" s="31" t="n">
        <v>1</v>
      </c>
      <c r="P158" s="26" t="s">
        <v>28</v>
      </c>
      <c r="Q158" s="27"/>
    </row>
    <row r="159" customFormat="false" ht="15" hidden="false" customHeight="false" outlineLevel="0" collapsed="false">
      <c r="A159" s="28" t="s">
        <v>421</v>
      </c>
      <c r="B159" s="29" t="s">
        <v>32</v>
      </c>
      <c r="C159" s="29" t="n">
        <v>4</v>
      </c>
      <c r="D159" s="29" t="n">
        <v>129</v>
      </c>
      <c r="E159" s="29" t="n">
        <v>88</v>
      </c>
      <c r="F159" s="29" t="s">
        <v>150</v>
      </c>
      <c r="G159" s="29"/>
      <c r="H159" s="30" t="s">
        <v>422</v>
      </c>
      <c r="I159" s="29" t="n">
        <v>5</v>
      </c>
      <c r="J159" s="29" t="n">
        <v>12</v>
      </c>
      <c r="K159" s="29" t="n">
        <v>6</v>
      </c>
      <c r="L159" s="28" t="s">
        <v>159</v>
      </c>
      <c r="M159" s="28" t="s">
        <v>358</v>
      </c>
      <c r="N159" s="30"/>
      <c r="O159" s="31" t="n">
        <v>1</v>
      </c>
      <c r="P159" s="26" t="s">
        <v>28</v>
      </c>
      <c r="Q159" s="27"/>
    </row>
    <row r="160" customFormat="false" ht="15" hidden="false" customHeight="false" outlineLevel="0" collapsed="false">
      <c r="A160" s="28" t="s">
        <v>423</v>
      </c>
      <c r="B160" s="29" t="s">
        <v>32</v>
      </c>
      <c r="C160" s="29" t="n">
        <v>4</v>
      </c>
      <c r="D160" s="29" t="n">
        <v>129</v>
      </c>
      <c r="E160" s="29" t="n">
        <v>88</v>
      </c>
      <c r="F160" s="29" t="s">
        <v>150</v>
      </c>
      <c r="G160" s="29"/>
      <c r="H160" s="30" t="s">
        <v>424</v>
      </c>
      <c r="I160" s="29" t="n">
        <v>5</v>
      </c>
      <c r="J160" s="29" t="n">
        <v>12</v>
      </c>
      <c r="K160" s="29" t="n">
        <v>6</v>
      </c>
      <c r="L160" s="28" t="s">
        <v>179</v>
      </c>
      <c r="M160" s="28" t="s">
        <v>425</v>
      </c>
      <c r="N160" s="30"/>
      <c r="O160" s="31" t="n">
        <v>1</v>
      </c>
      <c r="P160" s="26" t="s">
        <v>28</v>
      </c>
      <c r="Q160" s="27"/>
    </row>
    <row r="161" customFormat="false" ht="15" hidden="false" customHeight="false" outlineLevel="0" collapsed="false">
      <c r="A161" s="28" t="s">
        <v>426</v>
      </c>
      <c r="B161" s="29" t="s">
        <v>32</v>
      </c>
      <c r="C161" s="29" t="n">
        <v>4</v>
      </c>
      <c r="D161" s="29" t="n">
        <v>129</v>
      </c>
      <c r="E161" s="29" t="n">
        <v>88</v>
      </c>
      <c r="F161" s="29" t="s">
        <v>150</v>
      </c>
      <c r="G161" s="29"/>
      <c r="H161" s="30" t="s">
        <v>427</v>
      </c>
      <c r="I161" s="29" t="n">
        <v>5</v>
      </c>
      <c r="J161" s="29" t="n">
        <v>12</v>
      </c>
      <c r="K161" s="29" t="n">
        <v>6</v>
      </c>
      <c r="L161" s="28" t="s">
        <v>179</v>
      </c>
      <c r="M161" s="28" t="s">
        <v>183</v>
      </c>
      <c r="N161" s="30"/>
      <c r="O161" s="31" t="n">
        <v>1</v>
      </c>
      <c r="P161" s="26" t="s">
        <v>28</v>
      </c>
      <c r="Q161" s="27"/>
    </row>
    <row r="162" customFormat="false" ht="15" hidden="false" customHeight="false" outlineLevel="0" collapsed="false">
      <c r="A162" s="28" t="s">
        <v>428</v>
      </c>
      <c r="B162" s="29" t="s">
        <v>32</v>
      </c>
      <c r="C162" s="29" t="n">
        <v>4</v>
      </c>
      <c r="D162" s="29" t="n">
        <v>129</v>
      </c>
      <c r="E162" s="29" t="n">
        <v>88</v>
      </c>
      <c r="F162" s="29" t="s">
        <v>150</v>
      </c>
      <c r="G162" s="29"/>
      <c r="H162" s="30" t="s">
        <v>429</v>
      </c>
      <c r="I162" s="29" t="n">
        <v>5</v>
      </c>
      <c r="J162" s="29" t="n">
        <v>12</v>
      </c>
      <c r="K162" s="29" t="n">
        <v>6</v>
      </c>
      <c r="L162" s="28" t="s">
        <v>179</v>
      </c>
      <c r="M162" s="28" t="s">
        <v>405</v>
      </c>
      <c r="N162" s="30"/>
      <c r="O162" s="31" t="n">
        <v>1</v>
      </c>
      <c r="P162" s="26" t="s">
        <v>28</v>
      </c>
      <c r="Q162" s="27"/>
    </row>
    <row r="163" customFormat="false" ht="15" hidden="false" customHeight="false" outlineLevel="0" collapsed="false">
      <c r="A163" s="28" t="s">
        <v>430</v>
      </c>
      <c r="B163" s="29" t="s">
        <v>32</v>
      </c>
      <c r="C163" s="29" t="n">
        <v>4</v>
      </c>
      <c r="D163" s="29" t="n">
        <v>129</v>
      </c>
      <c r="E163" s="29" t="n">
        <v>88</v>
      </c>
      <c r="F163" s="29" t="s">
        <v>150</v>
      </c>
      <c r="G163" s="29"/>
      <c r="H163" s="30" t="s">
        <v>431</v>
      </c>
      <c r="I163" s="29" t="n">
        <v>5</v>
      </c>
      <c r="J163" s="29" t="n">
        <v>12</v>
      </c>
      <c r="K163" s="29" t="n">
        <v>6</v>
      </c>
      <c r="L163" s="28" t="s">
        <v>159</v>
      </c>
      <c r="M163" s="28" t="s">
        <v>176</v>
      </c>
      <c r="N163" s="30"/>
      <c r="O163" s="31" t="n">
        <v>1</v>
      </c>
      <c r="P163" s="26" t="s">
        <v>28</v>
      </c>
      <c r="Q163" s="27"/>
    </row>
    <row r="164" customFormat="false" ht="15" hidden="false" customHeight="false" outlineLevel="0" collapsed="false">
      <c r="A164" s="28" t="s">
        <v>432</v>
      </c>
      <c r="B164" s="29" t="s">
        <v>32</v>
      </c>
      <c r="C164" s="29" t="n">
        <v>4</v>
      </c>
      <c r="D164" s="29" t="n">
        <v>129</v>
      </c>
      <c r="E164" s="29" t="n">
        <v>88</v>
      </c>
      <c r="F164" s="29" t="s">
        <v>150</v>
      </c>
      <c r="G164" s="29"/>
      <c r="H164" s="30" t="s">
        <v>433</v>
      </c>
      <c r="I164" s="29" t="n">
        <v>5</v>
      </c>
      <c r="J164" s="29" t="n">
        <v>12</v>
      </c>
      <c r="K164" s="29" t="n">
        <v>6</v>
      </c>
      <c r="L164" s="28" t="s">
        <v>186</v>
      </c>
      <c r="M164" s="28" t="s">
        <v>434</v>
      </c>
      <c r="N164" s="30"/>
      <c r="O164" s="31" t="n">
        <v>1</v>
      </c>
      <c r="P164" s="26" t="s">
        <v>28</v>
      </c>
      <c r="Q164" s="27"/>
    </row>
    <row r="165" customFormat="false" ht="15" hidden="false" customHeight="false" outlineLevel="0" collapsed="false">
      <c r="A165" s="28" t="s">
        <v>435</v>
      </c>
      <c r="B165" s="29" t="s">
        <v>32</v>
      </c>
      <c r="C165" s="29" t="n">
        <v>4</v>
      </c>
      <c r="D165" s="29" t="n">
        <v>129</v>
      </c>
      <c r="E165" s="29" t="n">
        <v>88</v>
      </c>
      <c r="F165" s="29" t="s">
        <v>150</v>
      </c>
      <c r="G165" s="29"/>
      <c r="H165" s="30" t="s">
        <v>436</v>
      </c>
      <c r="I165" s="29" t="n">
        <v>6</v>
      </c>
      <c r="J165" s="29" t="n">
        <v>13</v>
      </c>
      <c r="K165" s="29" t="n">
        <v>6</v>
      </c>
      <c r="L165" s="28" t="s">
        <v>166</v>
      </c>
      <c r="M165" s="28" t="s">
        <v>273</v>
      </c>
      <c r="N165" s="30"/>
      <c r="O165" s="31" t="n">
        <v>1</v>
      </c>
      <c r="P165" s="26" t="s">
        <v>28</v>
      </c>
      <c r="Q165" s="27"/>
    </row>
    <row r="166" customFormat="false" ht="15" hidden="false" customHeight="false" outlineLevel="0" collapsed="false">
      <c r="A166" s="28" t="s">
        <v>437</v>
      </c>
      <c r="B166" s="29" t="s">
        <v>32</v>
      </c>
      <c r="C166" s="29" t="n">
        <v>4</v>
      </c>
      <c r="D166" s="29" t="n">
        <v>129</v>
      </c>
      <c r="E166" s="29" t="n">
        <v>88</v>
      </c>
      <c r="F166" s="29" t="s">
        <v>150</v>
      </c>
      <c r="G166" s="29"/>
      <c r="H166" s="30" t="s">
        <v>438</v>
      </c>
      <c r="I166" s="29" t="n">
        <v>6</v>
      </c>
      <c r="J166" s="29" t="n">
        <v>13</v>
      </c>
      <c r="K166" s="29" t="n">
        <v>6</v>
      </c>
      <c r="L166" s="28" t="s">
        <v>166</v>
      </c>
      <c r="M166" s="28" t="s">
        <v>198</v>
      </c>
      <c r="N166" s="30"/>
      <c r="O166" s="31" t="n">
        <v>1</v>
      </c>
      <c r="P166" s="26" t="s">
        <v>28</v>
      </c>
      <c r="Q166" s="27"/>
    </row>
    <row r="167" customFormat="false" ht="15" hidden="false" customHeight="false" outlineLevel="0" collapsed="false">
      <c r="A167" s="28" t="s">
        <v>439</v>
      </c>
      <c r="B167" s="29" t="s">
        <v>32</v>
      </c>
      <c r="C167" s="29" t="n">
        <v>4</v>
      </c>
      <c r="D167" s="29" t="n">
        <v>129</v>
      </c>
      <c r="E167" s="29" t="n">
        <v>88</v>
      </c>
      <c r="F167" s="29" t="s">
        <v>150</v>
      </c>
      <c r="G167" s="29"/>
      <c r="H167" s="30" t="s">
        <v>440</v>
      </c>
      <c r="I167" s="29" t="n">
        <v>5</v>
      </c>
      <c r="J167" s="29" t="n">
        <v>13</v>
      </c>
      <c r="K167" s="29" t="n">
        <v>6</v>
      </c>
      <c r="L167" s="28" t="s">
        <v>166</v>
      </c>
      <c r="M167" s="28" t="s">
        <v>195</v>
      </c>
      <c r="N167" s="30"/>
      <c r="O167" s="31" t="n">
        <v>1</v>
      </c>
      <c r="P167" s="26" t="s">
        <v>28</v>
      </c>
      <c r="Q167" s="27"/>
    </row>
    <row r="168" customFormat="false" ht="15" hidden="false" customHeight="false" outlineLevel="0" collapsed="false">
      <c r="A168" s="28" t="s">
        <v>441</v>
      </c>
      <c r="B168" s="29" t="s">
        <v>32</v>
      </c>
      <c r="C168" s="29" t="n">
        <v>4</v>
      </c>
      <c r="D168" s="29" t="n">
        <v>129</v>
      </c>
      <c r="E168" s="29" t="n">
        <v>88</v>
      </c>
      <c r="F168" s="29" t="s">
        <v>150</v>
      </c>
      <c r="G168" s="29"/>
      <c r="H168" s="30" t="s">
        <v>442</v>
      </c>
      <c r="I168" s="29" t="n">
        <v>5</v>
      </c>
      <c r="J168" s="29" t="n">
        <v>13</v>
      </c>
      <c r="K168" s="29" t="n">
        <v>6</v>
      </c>
      <c r="L168" s="28" t="s">
        <v>166</v>
      </c>
      <c r="M168" s="28" t="s">
        <v>195</v>
      </c>
      <c r="N168" s="30"/>
      <c r="O168" s="31" t="n">
        <v>1</v>
      </c>
      <c r="P168" s="26" t="s">
        <v>28</v>
      </c>
      <c r="Q168" s="27"/>
    </row>
    <row r="169" customFormat="false" ht="15" hidden="false" customHeight="false" outlineLevel="0" collapsed="false">
      <c r="A169" s="28" t="s">
        <v>443</v>
      </c>
      <c r="B169" s="29" t="s">
        <v>32</v>
      </c>
      <c r="C169" s="29" t="n">
        <v>4</v>
      </c>
      <c r="D169" s="29" t="n">
        <v>129</v>
      </c>
      <c r="E169" s="29" t="n">
        <v>88</v>
      </c>
      <c r="F169" s="29" t="s">
        <v>150</v>
      </c>
      <c r="G169" s="29"/>
      <c r="H169" s="30" t="s">
        <v>444</v>
      </c>
      <c r="I169" s="29" t="n">
        <v>5</v>
      </c>
      <c r="J169" s="29" t="n">
        <v>13</v>
      </c>
      <c r="K169" s="29" t="n">
        <v>6</v>
      </c>
      <c r="L169" s="28" t="s">
        <v>159</v>
      </c>
      <c r="M169" s="28" t="s">
        <v>445</v>
      </c>
      <c r="N169" s="30"/>
      <c r="O169" s="31" t="n">
        <v>1</v>
      </c>
      <c r="P169" s="26" t="s">
        <v>28</v>
      </c>
      <c r="Q169" s="27"/>
    </row>
    <row r="170" customFormat="false" ht="15" hidden="false" customHeight="false" outlineLevel="0" collapsed="false">
      <c r="A170" s="28" t="s">
        <v>446</v>
      </c>
      <c r="B170" s="29" t="s">
        <v>32</v>
      </c>
      <c r="C170" s="29" t="n">
        <v>4</v>
      </c>
      <c r="D170" s="29" t="n">
        <v>129</v>
      </c>
      <c r="E170" s="29" t="n">
        <v>88</v>
      </c>
      <c r="F170" s="29" t="s">
        <v>150</v>
      </c>
      <c r="G170" s="29"/>
      <c r="H170" s="30" t="s">
        <v>447</v>
      </c>
      <c r="I170" s="29" t="n">
        <v>5</v>
      </c>
      <c r="J170" s="29" t="n">
        <v>13</v>
      </c>
      <c r="K170" s="29" t="n">
        <v>6</v>
      </c>
      <c r="L170" s="28" t="s">
        <v>179</v>
      </c>
      <c r="M170" s="28" t="s">
        <v>295</v>
      </c>
      <c r="N170" s="30"/>
      <c r="O170" s="31" t="n">
        <v>1</v>
      </c>
      <c r="P170" s="26" t="s">
        <v>28</v>
      </c>
      <c r="Q170" s="27"/>
    </row>
    <row r="171" customFormat="false" ht="15" hidden="false" customHeight="false" outlineLevel="0" collapsed="false">
      <c r="A171" s="28" t="s">
        <v>448</v>
      </c>
      <c r="B171" s="29" t="s">
        <v>32</v>
      </c>
      <c r="C171" s="29" t="n">
        <v>4</v>
      </c>
      <c r="D171" s="29" t="n">
        <v>129</v>
      </c>
      <c r="E171" s="29" t="n">
        <v>88</v>
      </c>
      <c r="F171" s="29" t="s">
        <v>150</v>
      </c>
      <c r="G171" s="29"/>
      <c r="H171" s="30" t="s">
        <v>449</v>
      </c>
      <c r="I171" s="29" t="n">
        <v>5</v>
      </c>
      <c r="J171" s="29" t="n">
        <v>13</v>
      </c>
      <c r="K171" s="29" t="n">
        <v>6</v>
      </c>
      <c r="L171" s="28" t="s">
        <v>152</v>
      </c>
      <c r="M171" s="28" t="s">
        <v>393</v>
      </c>
      <c r="N171" s="30"/>
      <c r="O171" s="31" t="n">
        <v>1</v>
      </c>
      <c r="P171" s="26" t="s">
        <v>28</v>
      </c>
      <c r="Q171" s="27"/>
    </row>
    <row r="172" customFormat="false" ht="15" hidden="false" customHeight="false" outlineLevel="0" collapsed="false">
      <c r="A172" s="28" t="s">
        <v>450</v>
      </c>
      <c r="B172" s="29" t="s">
        <v>32</v>
      </c>
      <c r="C172" s="29" t="n">
        <v>5</v>
      </c>
      <c r="D172" s="29" t="n">
        <v>140</v>
      </c>
      <c r="E172" s="29" t="n">
        <v>88</v>
      </c>
      <c r="F172" s="29" t="s">
        <v>150</v>
      </c>
      <c r="G172" s="29"/>
      <c r="H172" s="30" t="s">
        <v>451</v>
      </c>
      <c r="I172" s="29" t="n">
        <v>6</v>
      </c>
      <c r="J172" s="29" t="n">
        <v>13</v>
      </c>
      <c r="K172" s="29" t="n">
        <v>6</v>
      </c>
      <c r="L172" s="28" t="s">
        <v>152</v>
      </c>
      <c r="M172" s="28" t="s">
        <v>230</v>
      </c>
      <c r="N172" s="30"/>
      <c r="O172" s="31" t="n">
        <v>1</v>
      </c>
      <c r="P172" s="26" t="s">
        <v>28</v>
      </c>
      <c r="Q172" s="27"/>
    </row>
    <row r="173" customFormat="false" ht="15" hidden="false" customHeight="false" outlineLevel="0" collapsed="false">
      <c r="A173" s="28" t="s">
        <v>452</v>
      </c>
      <c r="B173" s="29" t="s">
        <v>32</v>
      </c>
      <c r="C173" s="29" t="n">
        <v>5</v>
      </c>
      <c r="D173" s="29" t="n">
        <v>140</v>
      </c>
      <c r="E173" s="29" t="n">
        <v>88</v>
      </c>
      <c r="F173" s="29" t="s">
        <v>150</v>
      </c>
      <c r="G173" s="29"/>
      <c r="H173" s="30" t="s">
        <v>453</v>
      </c>
      <c r="I173" s="29" t="n">
        <v>6</v>
      </c>
      <c r="J173" s="29" t="n">
        <v>13</v>
      </c>
      <c r="K173" s="29" t="n">
        <v>6</v>
      </c>
      <c r="L173" s="28" t="s">
        <v>152</v>
      </c>
      <c r="M173" s="28" t="s">
        <v>225</v>
      </c>
      <c r="N173" s="30"/>
      <c r="O173" s="31" t="n">
        <v>1</v>
      </c>
      <c r="P173" s="26" t="s">
        <v>28</v>
      </c>
      <c r="Q173" s="27"/>
    </row>
    <row r="174" customFormat="false" ht="15" hidden="false" customHeight="false" outlineLevel="0" collapsed="false">
      <c r="A174" s="28" t="s">
        <v>454</v>
      </c>
      <c r="B174" s="29" t="s">
        <v>32</v>
      </c>
      <c r="C174" s="29" t="n">
        <v>5</v>
      </c>
      <c r="D174" s="29" t="n">
        <v>140</v>
      </c>
      <c r="E174" s="29" t="n">
        <v>88</v>
      </c>
      <c r="F174" s="29" t="s">
        <v>150</v>
      </c>
      <c r="G174" s="29"/>
      <c r="H174" s="30" t="s">
        <v>455</v>
      </c>
      <c r="I174" s="29" t="n">
        <v>6</v>
      </c>
      <c r="J174" s="29" t="n">
        <v>13</v>
      </c>
      <c r="K174" s="29" t="n">
        <v>6</v>
      </c>
      <c r="L174" s="28" t="s">
        <v>152</v>
      </c>
      <c r="M174" s="28" t="s">
        <v>230</v>
      </c>
      <c r="N174" s="30"/>
      <c r="O174" s="31" t="n">
        <v>1</v>
      </c>
      <c r="P174" s="26" t="s">
        <v>28</v>
      </c>
      <c r="Q174" s="27"/>
    </row>
    <row r="175" customFormat="false" ht="15" hidden="false" customHeight="false" outlineLevel="0" collapsed="false">
      <c r="A175" s="28" t="s">
        <v>456</v>
      </c>
      <c r="B175" s="29" t="s">
        <v>32</v>
      </c>
      <c r="C175" s="29" t="n">
        <v>5</v>
      </c>
      <c r="D175" s="29" t="n">
        <v>140</v>
      </c>
      <c r="E175" s="29" t="n">
        <v>88</v>
      </c>
      <c r="F175" s="29" t="s">
        <v>150</v>
      </c>
      <c r="G175" s="29"/>
      <c r="H175" s="30" t="s">
        <v>457</v>
      </c>
      <c r="I175" s="29" t="n">
        <v>6</v>
      </c>
      <c r="J175" s="29" t="n">
        <v>13</v>
      </c>
      <c r="K175" s="29" t="n">
        <v>6</v>
      </c>
      <c r="L175" s="28" t="s">
        <v>152</v>
      </c>
      <c r="M175" s="28" t="s">
        <v>329</v>
      </c>
      <c r="N175" s="30"/>
      <c r="O175" s="31" t="n">
        <v>1</v>
      </c>
      <c r="P175" s="26" t="s">
        <v>28</v>
      </c>
      <c r="Q175" s="27"/>
    </row>
    <row r="176" customFormat="false" ht="15" hidden="false" customHeight="false" outlineLevel="0" collapsed="false">
      <c r="A176" s="28" t="s">
        <v>458</v>
      </c>
      <c r="B176" s="29" t="s">
        <v>32</v>
      </c>
      <c r="C176" s="29" t="n">
        <v>5</v>
      </c>
      <c r="D176" s="29" t="n">
        <v>140</v>
      </c>
      <c r="E176" s="29" t="n">
        <v>88</v>
      </c>
      <c r="F176" s="29" t="s">
        <v>150</v>
      </c>
      <c r="G176" s="29"/>
      <c r="H176" s="30" t="s">
        <v>459</v>
      </c>
      <c r="I176" s="29" t="n">
        <v>6</v>
      </c>
      <c r="J176" s="29" t="n">
        <v>14</v>
      </c>
      <c r="K176" s="29" t="n">
        <v>6</v>
      </c>
      <c r="L176" s="28" t="s">
        <v>166</v>
      </c>
      <c r="M176" s="28" t="s">
        <v>460</v>
      </c>
      <c r="N176" s="30"/>
      <c r="O176" s="31" t="n">
        <v>1</v>
      </c>
      <c r="P176" s="26" t="s">
        <v>28</v>
      </c>
      <c r="Q176" s="27"/>
    </row>
    <row r="177" customFormat="false" ht="15" hidden="false" customHeight="false" outlineLevel="0" collapsed="false">
      <c r="A177" s="28" t="s">
        <v>461</v>
      </c>
      <c r="B177" s="29" t="s">
        <v>32</v>
      </c>
      <c r="C177" s="29" t="n">
        <v>5</v>
      </c>
      <c r="D177" s="29" t="n">
        <v>140</v>
      </c>
      <c r="E177" s="29" t="n">
        <v>88</v>
      </c>
      <c r="F177" s="29" t="s">
        <v>150</v>
      </c>
      <c r="G177" s="29"/>
      <c r="H177" s="30" t="s">
        <v>462</v>
      </c>
      <c r="I177" s="29" t="n">
        <v>7</v>
      </c>
      <c r="J177" s="29" t="n">
        <v>14</v>
      </c>
      <c r="K177" s="29" t="n">
        <v>6</v>
      </c>
      <c r="L177" s="28" t="s">
        <v>166</v>
      </c>
      <c r="M177" s="28" t="s">
        <v>463</v>
      </c>
      <c r="N177" s="30"/>
      <c r="O177" s="31" t="n">
        <v>1</v>
      </c>
      <c r="P177" s="26" t="s">
        <v>28</v>
      </c>
      <c r="Q177" s="27"/>
    </row>
    <row r="178" customFormat="false" ht="15" hidden="false" customHeight="false" outlineLevel="0" collapsed="false">
      <c r="A178" s="28" t="s">
        <v>464</v>
      </c>
      <c r="B178" s="29" t="s">
        <v>32</v>
      </c>
      <c r="C178" s="29" t="n">
        <v>5</v>
      </c>
      <c r="D178" s="29" t="n">
        <v>140</v>
      </c>
      <c r="E178" s="29" t="n">
        <v>88</v>
      </c>
      <c r="F178" s="29" t="s">
        <v>150</v>
      </c>
      <c r="G178" s="29"/>
      <c r="H178" s="30" t="s">
        <v>465</v>
      </c>
      <c r="I178" s="29" t="n">
        <v>6</v>
      </c>
      <c r="J178" s="29" t="n">
        <v>14</v>
      </c>
      <c r="K178" s="29" t="n">
        <v>6</v>
      </c>
      <c r="L178" s="28" t="s">
        <v>152</v>
      </c>
      <c r="M178" s="28" t="s">
        <v>210</v>
      </c>
      <c r="N178" s="30"/>
      <c r="O178" s="31" t="n">
        <v>1</v>
      </c>
      <c r="P178" s="26" t="s">
        <v>28</v>
      </c>
      <c r="Q178" s="27"/>
    </row>
    <row r="179" customFormat="false" ht="15" hidden="false" customHeight="false" outlineLevel="0" collapsed="false">
      <c r="A179" s="28" t="s">
        <v>466</v>
      </c>
      <c r="B179" s="29" t="s">
        <v>32</v>
      </c>
      <c r="C179" s="29" t="n">
        <v>5</v>
      </c>
      <c r="D179" s="29" t="n">
        <v>140</v>
      </c>
      <c r="E179" s="29" t="n">
        <v>88</v>
      </c>
      <c r="F179" s="29" t="s">
        <v>150</v>
      </c>
      <c r="G179" s="29"/>
      <c r="H179" s="30" t="s">
        <v>467</v>
      </c>
      <c r="I179" s="29" t="n">
        <v>6</v>
      </c>
      <c r="J179" s="29" t="n">
        <v>14</v>
      </c>
      <c r="K179" s="29" t="n">
        <v>6</v>
      </c>
      <c r="L179" s="28" t="s">
        <v>179</v>
      </c>
      <c r="M179" s="28" t="s">
        <v>289</v>
      </c>
      <c r="N179" s="30"/>
      <c r="O179" s="31" t="n">
        <v>1</v>
      </c>
      <c r="P179" s="26" t="s">
        <v>28</v>
      </c>
      <c r="Q179" s="27"/>
    </row>
    <row r="180" customFormat="false" ht="15" hidden="false" customHeight="false" outlineLevel="0" collapsed="false">
      <c r="A180" s="28" t="s">
        <v>468</v>
      </c>
      <c r="B180" s="29" t="s">
        <v>32</v>
      </c>
      <c r="C180" s="29" t="n">
        <v>5</v>
      </c>
      <c r="D180" s="29" t="n">
        <v>140</v>
      </c>
      <c r="E180" s="29" t="n">
        <v>88</v>
      </c>
      <c r="F180" s="29" t="s">
        <v>150</v>
      </c>
      <c r="G180" s="29"/>
      <c r="H180" s="30" t="s">
        <v>469</v>
      </c>
      <c r="I180" s="29" t="n">
        <v>6</v>
      </c>
      <c r="J180" s="29" t="n">
        <v>14</v>
      </c>
      <c r="K180" s="29" t="n">
        <v>6</v>
      </c>
      <c r="L180" s="28" t="s">
        <v>186</v>
      </c>
      <c r="M180" s="28" t="s">
        <v>470</v>
      </c>
      <c r="N180" s="30"/>
      <c r="O180" s="31" t="n">
        <v>1</v>
      </c>
      <c r="P180" s="26" t="s">
        <v>28</v>
      </c>
      <c r="Q180" s="27"/>
    </row>
    <row r="181" customFormat="false" ht="15" hidden="false" customHeight="false" outlineLevel="0" collapsed="false">
      <c r="A181" s="28" t="s">
        <v>471</v>
      </c>
      <c r="B181" s="29" t="s">
        <v>32</v>
      </c>
      <c r="C181" s="29" t="n">
        <v>5</v>
      </c>
      <c r="D181" s="29" t="n">
        <v>140</v>
      </c>
      <c r="E181" s="29" t="n">
        <v>88</v>
      </c>
      <c r="F181" s="29" t="s">
        <v>150</v>
      </c>
      <c r="G181" s="29"/>
      <c r="H181" s="30" t="s">
        <v>472</v>
      </c>
      <c r="I181" s="29" t="n">
        <v>7</v>
      </c>
      <c r="J181" s="29" t="n">
        <v>14</v>
      </c>
      <c r="K181" s="29" t="n">
        <v>6</v>
      </c>
      <c r="L181" s="28" t="s">
        <v>166</v>
      </c>
      <c r="M181" s="28" t="s">
        <v>460</v>
      </c>
      <c r="N181" s="30"/>
      <c r="O181" s="31" t="n">
        <v>1</v>
      </c>
      <c r="P181" s="26" t="s">
        <v>28</v>
      </c>
      <c r="Q181" s="27"/>
    </row>
    <row r="182" customFormat="false" ht="15" hidden="false" customHeight="false" outlineLevel="0" collapsed="false">
      <c r="A182" s="28" t="s">
        <v>473</v>
      </c>
      <c r="B182" s="29" t="s">
        <v>32</v>
      </c>
      <c r="C182" s="29" t="n">
        <v>5</v>
      </c>
      <c r="D182" s="29" t="n">
        <v>140</v>
      </c>
      <c r="E182" s="29" t="n">
        <v>88</v>
      </c>
      <c r="F182" s="29" t="s">
        <v>150</v>
      </c>
      <c r="G182" s="29"/>
      <c r="H182" s="30" t="s">
        <v>474</v>
      </c>
      <c r="I182" s="29" t="n">
        <v>7</v>
      </c>
      <c r="J182" s="29" t="n">
        <v>15</v>
      </c>
      <c r="K182" s="29" t="n">
        <v>6</v>
      </c>
      <c r="L182" s="28" t="s">
        <v>166</v>
      </c>
      <c r="M182" s="28" t="s">
        <v>460</v>
      </c>
      <c r="N182" s="30"/>
      <c r="O182" s="31" t="n">
        <v>1</v>
      </c>
      <c r="P182" s="26" t="s">
        <v>28</v>
      </c>
      <c r="Q182" s="27"/>
    </row>
    <row r="183" customFormat="false" ht="15" hidden="false" customHeight="false" outlineLevel="0" collapsed="false">
      <c r="A183" s="28" t="s">
        <v>475</v>
      </c>
      <c r="B183" s="29" t="s">
        <v>32</v>
      </c>
      <c r="C183" s="29" t="n">
        <v>5</v>
      </c>
      <c r="D183" s="29" t="n">
        <v>140</v>
      </c>
      <c r="E183" s="29" t="n">
        <v>88</v>
      </c>
      <c r="F183" s="29" t="s">
        <v>150</v>
      </c>
      <c r="G183" s="29"/>
      <c r="H183" s="30" t="s">
        <v>476</v>
      </c>
      <c r="I183" s="29" t="n">
        <v>7</v>
      </c>
      <c r="J183" s="29" t="n">
        <v>15</v>
      </c>
      <c r="K183" s="29" t="n">
        <v>6</v>
      </c>
      <c r="L183" s="28" t="s">
        <v>159</v>
      </c>
      <c r="M183" s="28" t="s">
        <v>358</v>
      </c>
      <c r="N183" s="30"/>
      <c r="O183" s="31" t="n">
        <v>1</v>
      </c>
      <c r="P183" s="26" t="s">
        <v>28</v>
      </c>
      <c r="Q183" s="27"/>
    </row>
    <row r="184" customFormat="false" ht="15" hidden="false" customHeight="false" outlineLevel="0" collapsed="false">
      <c r="A184" s="28" t="s">
        <v>477</v>
      </c>
      <c r="B184" s="29" t="s">
        <v>32</v>
      </c>
      <c r="C184" s="29" t="n">
        <v>5</v>
      </c>
      <c r="D184" s="29" t="n">
        <v>140</v>
      </c>
      <c r="E184" s="29" t="n">
        <v>88</v>
      </c>
      <c r="F184" s="29" t="s">
        <v>150</v>
      </c>
      <c r="G184" s="29"/>
      <c r="H184" s="30" t="s">
        <v>478</v>
      </c>
      <c r="I184" s="29" t="n">
        <v>6</v>
      </c>
      <c r="J184" s="29" t="n">
        <v>15</v>
      </c>
      <c r="K184" s="29" t="n">
        <v>6</v>
      </c>
      <c r="L184" s="28" t="s">
        <v>152</v>
      </c>
      <c r="M184" s="28" t="s">
        <v>190</v>
      </c>
      <c r="N184" s="30"/>
      <c r="O184" s="31" t="n">
        <v>1</v>
      </c>
      <c r="P184" s="26" t="s">
        <v>28</v>
      </c>
      <c r="Q184" s="27"/>
    </row>
    <row r="185" customFormat="false" ht="15" hidden="false" customHeight="false" outlineLevel="0" collapsed="false">
      <c r="A185" s="28" t="s">
        <v>479</v>
      </c>
      <c r="B185" s="29" t="s">
        <v>32</v>
      </c>
      <c r="C185" s="29" t="n">
        <v>5</v>
      </c>
      <c r="D185" s="29" t="n">
        <v>140</v>
      </c>
      <c r="E185" s="29" t="n">
        <v>88</v>
      </c>
      <c r="F185" s="29" t="s">
        <v>150</v>
      </c>
      <c r="G185" s="29"/>
      <c r="H185" s="30" t="s">
        <v>480</v>
      </c>
      <c r="I185" s="29" t="n">
        <v>7</v>
      </c>
      <c r="J185" s="29" t="n">
        <v>16</v>
      </c>
      <c r="K185" s="29" t="n">
        <v>7</v>
      </c>
      <c r="L185" s="28" t="s">
        <v>152</v>
      </c>
      <c r="M185" s="28" t="s">
        <v>153</v>
      </c>
      <c r="N185" s="30"/>
      <c r="O185" s="31" t="n">
        <v>1</v>
      </c>
      <c r="P185" s="26" t="s">
        <v>28</v>
      </c>
      <c r="Q185" s="27"/>
    </row>
    <row r="186" customFormat="false" ht="15" hidden="false" customHeight="false" outlineLevel="0" collapsed="false">
      <c r="A186" s="28" t="s">
        <v>481</v>
      </c>
      <c r="B186" s="29" t="s">
        <v>32</v>
      </c>
      <c r="C186" s="29" t="n">
        <v>5</v>
      </c>
      <c r="D186" s="29" t="n">
        <v>140</v>
      </c>
      <c r="E186" s="29" t="n">
        <v>88</v>
      </c>
      <c r="F186" s="29" t="s">
        <v>150</v>
      </c>
      <c r="G186" s="29"/>
      <c r="H186" s="30" t="s">
        <v>482</v>
      </c>
      <c r="I186" s="29" t="n">
        <v>8</v>
      </c>
      <c r="J186" s="29" t="n">
        <v>16</v>
      </c>
      <c r="K186" s="29" t="n">
        <v>7</v>
      </c>
      <c r="L186" s="28" t="s">
        <v>166</v>
      </c>
      <c r="M186" s="28" t="s">
        <v>198</v>
      </c>
      <c r="N186" s="30"/>
      <c r="O186" s="31" t="n">
        <v>1</v>
      </c>
      <c r="P186" s="26" t="s">
        <v>28</v>
      </c>
      <c r="Q186" s="27"/>
    </row>
    <row r="187" customFormat="false" ht="15" hidden="false" customHeight="false" outlineLevel="0" collapsed="false">
      <c r="A187" s="28" t="s">
        <v>483</v>
      </c>
      <c r="B187" s="29" t="s">
        <v>32</v>
      </c>
      <c r="C187" s="29" t="n">
        <v>5</v>
      </c>
      <c r="D187" s="29" t="n">
        <v>140</v>
      </c>
      <c r="E187" s="29" t="n">
        <v>88</v>
      </c>
      <c r="F187" s="29" t="s">
        <v>150</v>
      </c>
      <c r="G187" s="29"/>
      <c r="H187" s="30" t="s">
        <v>484</v>
      </c>
      <c r="I187" s="29" t="n">
        <v>8</v>
      </c>
      <c r="J187" s="29" t="n">
        <v>16</v>
      </c>
      <c r="K187" s="29" t="n">
        <v>7</v>
      </c>
      <c r="L187" s="28" t="s">
        <v>179</v>
      </c>
      <c r="M187" s="28" t="s">
        <v>183</v>
      </c>
      <c r="N187" s="30"/>
      <c r="O187" s="31" t="n">
        <v>1</v>
      </c>
      <c r="P187" s="26" t="s">
        <v>28</v>
      </c>
      <c r="Q187" s="27"/>
    </row>
    <row r="188" customFormat="false" ht="15" hidden="false" customHeight="false" outlineLevel="0" collapsed="false">
      <c r="A188" s="28" t="s">
        <v>485</v>
      </c>
      <c r="B188" s="29" t="s">
        <v>32</v>
      </c>
      <c r="C188" s="29" t="n">
        <v>5</v>
      </c>
      <c r="D188" s="29" t="n">
        <v>140</v>
      </c>
      <c r="E188" s="29" t="n">
        <v>88</v>
      </c>
      <c r="F188" s="29" t="s">
        <v>150</v>
      </c>
      <c r="G188" s="29"/>
      <c r="H188" s="30" t="s">
        <v>486</v>
      </c>
      <c r="I188" s="29" t="n">
        <v>7</v>
      </c>
      <c r="J188" s="29" t="n">
        <v>16</v>
      </c>
      <c r="K188" s="29" t="n">
        <v>7</v>
      </c>
      <c r="L188" s="28" t="s">
        <v>152</v>
      </c>
      <c r="M188" s="28" t="s">
        <v>341</v>
      </c>
      <c r="N188" s="30"/>
      <c r="O188" s="31" t="n">
        <v>1</v>
      </c>
      <c r="P188" s="26" t="s">
        <v>28</v>
      </c>
      <c r="Q188" s="27"/>
    </row>
    <row r="189" customFormat="false" ht="15" hidden="false" customHeight="false" outlineLevel="0" collapsed="false">
      <c r="A189" s="28" t="s">
        <v>487</v>
      </c>
      <c r="B189" s="29" t="s">
        <v>32</v>
      </c>
      <c r="C189" s="29" t="n">
        <v>5</v>
      </c>
      <c r="D189" s="29" t="n">
        <v>140</v>
      </c>
      <c r="E189" s="29" t="n">
        <v>88</v>
      </c>
      <c r="F189" s="29" t="s">
        <v>150</v>
      </c>
      <c r="G189" s="29"/>
      <c r="H189" s="30" t="s">
        <v>488</v>
      </c>
      <c r="I189" s="29" t="n">
        <v>6</v>
      </c>
      <c r="J189" s="29" t="n">
        <v>16</v>
      </c>
      <c r="K189" s="29" t="n">
        <v>7</v>
      </c>
      <c r="L189" s="28" t="s">
        <v>152</v>
      </c>
      <c r="M189" s="28" t="s">
        <v>190</v>
      </c>
      <c r="N189" s="30"/>
      <c r="O189" s="31" t="n">
        <v>1</v>
      </c>
      <c r="P189" s="26" t="s">
        <v>28</v>
      </c>
      <c r="Q189" s="27"/>
    </row>
    <row r="190" customFormat="false" ht="15" hidden="false" customHeight="false" outlineLevel="0" collapsed="false">
      <c r="A190" s="28" t="s">
        <v>489</v>
      </c>
      <c r="B190" s="29" t="s">
        <v>32</v>
      </c>
      <c r="C190" s="29" t="n">
        <v>5</v>
      </c>
      <c r="D190" s="29" t="n">
        <v>140</v>
      </c>
      <c r="E190" s="29" t="n">
        <v>88</v>
      </c>
      <c r="F190" s="29" t="s">
        <v>150</v>
      </c>
      <c r="G190" s="29"/>
      <c r="H190" s="30" t="s">
        <v>490</v>
      </c>
      <c r="I190" s="29" t="n">
        <v>8</v>
      </c>
      <c r="J190" s="29" t="n">
        <v>17</v>
      </c>
      <c r="K190" s="29" t="n">
        <v>7</v>
      </c>
      <c r="L190" s="28" t="s">
        <v>166</v>
      </c>
      <c r="M190" s="28" t="s">
        <v>198</v>
      </c>
      <c r="N190" s="30"/>
      <c r="O190" s="31" t="n">
        <v>1</v>
      </c>
      <c r="P190" s="26" t="s">
        <v>28</v>
      </c>
      <c r="Q190" s="27"/>
    </row>
    <row r="191" customFormat="false" ht="15" hidden="false" customHeight="false" outlineLevel="0" collapsed="false">
      <c r="A191" s="28" t="s">
        <v>491</v>
      </c>
      <c r="B191" s="29" t="s">
        <v>32</v>
      </c>
      <c r="C191" s="29" t="n">
        <v>5</v>
      </c>
      <c r="D191" s="29" t="n">
        <v>140</v>
      </c>
      <c r="E191" s="29" t="n">
        <v>88</v>
      </c>
      <c r="F191" s="29" t="s">
        <v>150</v>
      </c>
      <c r="G191" s="29"/>
      <c r="H191" s="30" t="s">
        <v>492</v>
      </c>
      <c r="I191" s="29" t="n">
        <v>8</v>
      </c>
      <c r="J191" s="29" t="n">
        <v>17</v>
      </c>
      <c r="K191" s="29" t="n">
        <v>7</v>
      </c>
      <c r="L191" s="28" t="s">
        <v>166</v>
      </c>
      <c r="M191" s="28" t="s">
        <v>353</v>
      </c>
      <c r="N191" s="30"/>
      <c r="O191" s="31" t="n">
        <v>1</v>
      </c>
      <c r="P191" s="26" t="s">
        <v>28</v>
      </c>
      <c r="Q191" s="27"/>
    </row>
    <row r="192" customFormat="false" ht="15" hidden="false" customHeight="false" outlineLevel="0" collapsed="false">
      <c r="A192" s="28" t="s">
        <v>493</v>
      </c>
      <c r="B192" s="29" t="s">
        <v>32</v>
      </c>
      <c r="C192" s="29" t="n">
        <v>5</v>
      </c>
      <c r="D192" s="29" t="n">
        <v>140</v>
      </c>
      <c r="E192" s="29" t="n">
        <v>88</v>
      </c>
      <c r="F192" s="29" t="s">
        <v>150</v>
      </c>
      <c r="G192" s="29"/>
      <c r="H192" s="30" t="s">
        <v>494</v>
      </c>
      <c r="I192" s="29" t="n">
        <v>7</v>
      </c>
      <c r="J192" s="29" t="n">
        <v>17</v>
      </c>
      <c r="K192" s="29" t="n">
        <v>7</v>
      </c>
      <c r="L192" s="28" t="s">
        <v>186</v>
      </c>
      <c r="M192" s="28" t="s">
        <v>495</v>
      </c>
      <c r="N192" s="30"/>
      <c r="O192" s="31" t="n">
        <v>1</v>
      </c>
      <c r="P192" s="26" t="s">
        <v>28</v>
      </c>
      <c r="Q192" s="27"/>
    </row>
    <row r="193" customFormat="false" ht="15" hidden="false" customHeight="false" outlineLevel="0" collapsed="false">
      <c r="A193" s="28" t="s">
        <v>496</v>
      </c>
      <c r="B193" s="29" t="s">
        <v>32</v>
      </c>
      <c r="C193" s="29" t="n">
        <v>5</v>
      </c>
      <c r="D193" s="29" t="n">
        <v>140</v>
      </c>
      <c r="E193" s="29" t="n">
        <v>88</v>
      </c>
      <c r="F193" s="29" t="s">
        <v>150</v>
      </c>
      <c r="G193" s="29"/>
      <c r="H193" s="30" t="s">
        <v>497</v>
      </c>
      <c r="I193" s="29" t="n">
        <v>7</v>
      </c>
      <c r="J193" s="29" t="n">
        <v>17</v>
      </c>
      <c r="K193" s="29" t="n">
        <v>7</v>
      </c>
      <c r="L193" s="28" t="s">
        <v>152</v>
      </c>
      <c r="M193" s="28" t="s">
        <v>260</v>
      </c>
      <c r="N193" s="30"/>
      <c r="O193" s="31" t="n">
        <v>1</v>
      </c>
      <c r="P193" s="26" t="s">
        <v>28</v>
      </c>
      <c r="Q193" s="27"/>
    </row>
    <row r="194" customFormat="false" ht="15" hidden="false" customHeight="false" outlineLevel="0" collapsed="false">
      <c r="A194" s="28" t="s">
        <v>498</v>
      </c>
      <c r="B194" s="29" t="s">
        <v>32</v>
      </c>
      <c r="C194" s="29" t="n">
        <v>5</v>
      </c>
      <c r="D194" s="29" t="n">
        <v>140</v>
      </c>
      <c r="E194" s="29" t="n">
        <v>88</v>
      </c>
      <c r="F194" s="29" t="s">
        <v>150</v>
      </c>
      <c r="G194" s="29"/>
      <c r="H194" s="30" t="s">
        <v>499</v>
      </c>
      <c r="I194" s="29" t="n">
        <v>8</v>
      </c>
      <c r="J194" s="29" t="n">
        <v>18</v>
      </c>
      <c r="K194" s="29" t="n">
        <v>8</v>
      </c>
      <c r="L194" s="28" t="s">
        <v>166</v>
      </c>
      <c r="M194" s="28" t="s">
        <v>353</v>
      </c>
      <c r="N194" s="30"/>
      <c r="O194" s="31" t="n">
        <v>1</v>
      </c>
      <c r="P194" s="26" t="s">
        <v>28</v>
      </c>
      <c r="Q194" s="27"/>
    </row>
    <row r="195" customFormat="false" ht="15" hidden="false" customHeight="false" outlineLevel="0" collapsed="false">
      <c r="A195" s="28" t="s">
        <v>500</v>
      </c>
      <c r="B195" s="29" t="s">
        <v>32</v>
      </c>
      <c r="C195" s="29" t="n">
        <v>5</v>
      </c>
      <c r="D195" s="29" t="n">
        <v>140</v>
      </c>
      <c r="E195" s="29" t="n">
        <v>88</v>
      </c>
      <c r="F195" s="29" t="s">
        <v>150</v>
      </c>
      <c r="G195" s="29"/>
      <c r="H195" s="30" t="s">
        <v>501</v>
      </c>
      <c r="I195" s="29" t="n">
        <v>8</v>
      </c>
      <c r="J195" s="29" t="n">
        <v>18</v>
      </c>
      <c r="K195" s="29" t="n">
        <v>8</v>
      </c>
      <c r="L195" s="28" t="s">
        <v>152</v>
      </c>
      <c r="M195" s="28" t="s">
        <v>260</v>
      </c>
      <c r="N195" s="30"/>
      <c r="O195" s="31" t="n">
        <v>1</v>
      </c>
      <c r="P195" s="26" t="s">
        <v>28</v>
      </c>
      <c r="Q195" s="27"/>
    </row>
    <row r="196" customFormat="false" ht="15" hidden="false" customHeight="false" outlineLevel="0" collapsed="false">
      <c r="A196" s="28" t="s">
        <v>502</v>
      </c>
      <c r="B196" s="29" t="s">
        <v>32</v>
      </c>
      <c r="C196" s="29" t="n">
        <v>5</v>
      </c>
      <c r="D196" s="29" t="n">
        <v>140</v>
      </c>
      <c r="E196" s="29" t="n">
        <v>88</v>
      </c>
      <c r="F196" s="29" t="s">
        <v>150</v>
      </c>
      <c r="G196" s="29"/>
      <c r="H196" s="30" t="s">
        <v>503</v>
      </c>
      <c r="I196" s="29" t="n">
        <v>8</v>
      </c>
      <c r="J196" s="29" t="n">
        <v>18</v>
      </c>
      <c r="K196" s="29" t="n">
        <v>8</v>
      </c>
      <c r="L196" s="28" t="s">
        <v>159</v>
      </c>
      <c r="M196" s="28" t="s">
        <v>504</v>
      </c>
      <c r="N196" s="30"/>
      <c r="O196" s="31" t="n">
        <v>1</v>
      </c>
      <c r="P196" s="26" t="s">
        <v>28</v>
      </c>
      <c r="Q196" s="27"/>
    </row>
    <row r="197" customFormat="false" ht="15" hidden="false" customHeight="false" outlineLevel="0" collapsed="false">
      <c r="A197" s="28" t="s">
        <v>505</v>
      </c>
      <c r="B197" s="29" t="s">
        <v>32</v>
      </c>
      <c r="C197" s="29" t="n">
        <v>5</v>
      </c>
      <c r="D197" s="29" t="n">
        <v>140</v>
      </c>
      <c r="E197" s="29" t="n">
        <v>88</v>
      </c>
      <c r="F197" s="29" t="s">
        <v>150</v>
      </c>
      <c r="G197" s="29"/>
      <c r="H197" s="30" t="s">
        <v>506</v>
      </c>
      <c r="I197" s="29" t="n">
        <v>8</v>
      </c>
      <c r="J197" s="29" t="n">
        <v>18</v>
      </c>
      <c r="K197" s="29" t="n">
        <v>8</v>
      </c>
      <c r="L197" s="28" t="s">
        <v>159</v>
      </c>
      <c r="M197" s="28" t="s">
        <v>507</v>
      </c>
      <c r="N197" s="30"/>
      <c r="O197" s="31" t="n">
        <v>1</v>
      </c>
      <c r="P197" s="26" t="s">
        <v>28</v>
      </c>
      <c r="Q197" s="27"/>
    </row>
    <row r="198" customFormat="false" ht="15" hidden="false" customHeight="false" outlineLevel="0" collapsed="false">
      <c r="A198" s="28" t="s">
        <v>508</v>
      </c>
      <c r="B198" s="29" t="s">
        <v>32</v>
      </c>
      <c r="C198" s="29" t="n">
        <v>5</v>
      </c>
      <c r="D198" s="29" t="n">
        <v>140</v>
      </c>
      <c r="E198" s="29" t="n">
        <v>88</v>
      </c>
      <c r="F198" s="29" t="s">
        <v>150</v>
      </c>
      <c r="G198" s="29"/>
      <c r="H198" s="30" t="s">
        <v>509</v>
      </c>
      <c r="I198" s="29" t="n">
        <v>8</v>
      </c>
      <c r="J198" s="29" t="n">
        <v>18</v>
      </c>
      <c r="K198" s="29" t="n">
        <v>8</v>
      </c>
      <c r="L198" s="28" t="s">
        <v>166</v>
      </c>
      <c r="M198" s="28" t="s">
        <v>460</v>
      </c>
      <c r="N198" s="30"/>
      <c r="O198" s="31" t="n">
        <v>1</v>
      </c>
      <c r="P198" s="26" t="s">
        <v>28</v>
      </c>
      <c r="Q198" s="27"/>
    </row>
    <row r="199" customFormat="false" ht="15" hidden="false" customHeight="false" outlineLevel="0" collapsed="false">
      <c r="A199" s="28" t="s">
        <v>510</v>
      </c>
      <c r="B199" s="29" t="s">
        <v>32</v>
      </c>
      <c r="C199" s="29" t="n">
        <v>5</v>
      </c>
      <c r="D199" s="29" t="n">
        <v>140</v>
      </c>
      <c r="E199" s="29" t="n">
        <v>88</v>
      </c>
      <c r="F199" s="29" t="s">
        <v>150</v>
      </c>
      <c r="G199" s="29"/>
      <c r="H199" s="30" t="s">
        <v>511</v>
      </c>
      <c r="I199" s="29" t="n">
        <v>8</v>
      </c>
      <c r="J199" s="29" t="n">
        <v>18</v>
      </c>
      <c r="K199" s="29" t="n">
        <v>8</v>
      </c>
      <c r="L199" s="28" t="s">
        <v>152</v>
      </c>
      <c r="M199" s="28" t="s">
        <v>393</v>
      </c>
      <c r="N199" s="30"/>
      <c r="O199" s="31" t="n">
        <v>1</v>
      </c>
      <c r="P199" s="26" t="s">
        <v>28</v>
      </c>
      <c r="Q199" s="27"/>
    </row>
    <row r="200" customFormat="false" ht="15" hidden="false" customHeight="false" outlineLevel="0" collapsed="false">
      <c r="A200" s="28" t="s">
        <v>512</v>
      </c>
      <c r="B200" s="29" t="s">
        <v>32</v>
      </c>
      <c r="C200" s="29" t="n">
        <v>5</v>
      </c>
      <c r="D200" s="29" t="n">
        <v>140</v>
      </c>
      <c r="E200" s="29" t="n">
        <v>88</v>
      </c>
      <c r="F200" s="29" t="s">
        <v>150</v>
      </c>
      <c r="G200" s="29"/>
      <c r="H200" s="30" t="s">
        <v>513</v>
      </c>
      <c r="I200" s="29" t="n">
        <v>9</v>
      </c>
      <c r="J200" s="29" t="n">
        <v>19</v>
      </c>
      <c r="K200" s="29" t="n">
        <v>8</v>
      </c>
      <c r="L200" s="28" t="s">
        <v>159</v>
      </c>
      <c r="M200" s="28" t="s">
        <v>445</v>
      </c>
      <c r="N200" s="30"/>
      <c r="O200" s="31" t="n">
        <v>1</v>
      </c>
      <c r="P200" s="26" t="s">
        <v>28</v>
      </c>
      <c r="Q200" s="27"/>
    </row>
    <row r="201" customFormat="false" ht="15" hidden="false" customHeight="false" outlineLevel="0" collapsed="false">
      <c r="A201" s="28" t="s">
        <v>514</v>
      </c>
      <c r="B201" s="29" t="s">
        <v>32</v>
      </c>
      <c r="C201" s="29" t="n">
        <v>5</v>
      </c>
      <c r="D201" s="29" t="n">
        <v>140</v>
      </c>
      <c r="E201" s="29" t="n">
        <v>88</v>
      </c>
      <c r="F201" s="29" t="s">
        <v>150</v>
      </c>
      <c r="G201" s="29"/>
      <c r="H201" s="30" t="s">
        <v>515</v>
      </c>
      <c r="I201" s="29" t="n">
        <v>9</v>
      </c>
      <c r="J201" s="29" t="n">
        <v>19</v>
      </c>
      <c r="K201" s="29" t="n">
        <v>8</v>
      </c>
      <c r="L201" s="28" t="s">
        <v>166</v>
      </c>
      <c r="M201" s="28" t="s">
        <v>460</v>
      </c>
      <c r="N201" s="30"/>
      <c r="O201" s="31" t="n">
        <v>1</v>
      </c>
      <c r="P201" s="26" t="s">
        <v>28</v>
      </c>
      <c r="Q201" s="27"/>
    </row>
    <row r="202" customFormat="false" ht="15" hidden="false" customHeight="false" outlineLevel="0" collapsed="false">
      <c r="A202" s="32" t="s">
        <v>516</v>
      </c>
      <c r="B202" s="33" t="s">
        <v>33</v>
      </c>
      <c r="C202" s="33" t="n">
        <v>1</v>
      </c>
      <c r="D202" s="33" t="n">
        <v>155</v>
      </c>
      <c r="E202" s="33" t="n">
        <v>90</v>
      </c>
      <c r="F202" s="33" t="s">
        <v>517</v>
      </c>
      <c r="G202" s="33"/>
      <c r="H202" s="34" t="s">
        <v>518</v>
      </c>
      <c r="I202" s="33" t="n">
        <v>17</v>
      </c>
      <c r="J202" s="33" t="n">
        <v>34</v>
      </c>
      <c r="K202" s="33" t="n">
        <v>13</v>
      </c>
      <c r="L202" s="32" t="s">
        <v>152</v>
      </c>
      <c r="M202" s="32" t="s">
        <v>170</v>
      </c>
      <c r="N202" s="34"/>
      <c r="O202" s="35" t="n">
        <v>1</v>
      </c>
      <c r="P202" s="26" t="s">
        <v>28</v>
      </c>
      <c r="Q202" s="27"/>
    </row>
    <row r="203" customFormat="false" ht="15" hidden="false" customHeight="false" outlineLevel="0" collapsed="false">
      <c r="A203" s="32" t="s">
        <v>519</v>
      </c>
      <c r="B203" s="33" t="s">
        <v>33</v>
      </c>
      <c r="C203" s="33" t="n">
        <v>1</v>
      </c>
      <c r="D203" s="33" t="n">
        <v>155</v>
      </c>
      <c r="E203" s="33" t="n">
        <v>90</v>
      </c>
      <c r="F203" s="33" t="s">
        <v>517</v>
      </c>
      <c r="G203" s="33"/>
      <c r="H203" s="34" t="s">
        <v>520</v>
      </c>
      <c r="I203" s="33" t="n">
        <v>21</v>
      </c>
      <c r="J203" s="33" t="n">
        <v>43</v>
      </c>
      <c r="K203" s="33" t="n">
        <v>17</v>
      </c>
      <c r="L203" s="32" t="s">
        <v>179</v>
      </c>
      <c r="M203" s="32" t="s">
        <v>521</v>
      </c>
      <c r="N203" s="34"/>
      <c r="O203" s="35" t="n">
        <v>1</v>
      </c>
      <c r="P203" s="26" t="s">
        <v>28</v>
      </c>
      <c r="Q203" s="27"/>
    </row>
    <row r="204" customFormat="false" ht="15" hidden="false" customHeight="false" outlineLevel="0" collapsed="false">
      <c r="A204" s="32" t="s">
        <v>522</v>
      </c>
      <c r="B204" s="33" t="s">
        <v>33</v>
      </c>
      <c r="C204" s="33" t="n">
        <v>1</v>
      </c>
      <c r="D204" s="33" t="n">
        <v>155</v>
      </c>
      <c r="E204" s="33" t="n">
        <v>90</v>
      </c>
      <c r="F204" s="33" t="s">
        <v>517</v>
      </c>
      <c r="G204" s="33"/>
      <c r="H204" s="34" t="s">
        <v>523</v>
      </c>
      <c r="I204" s="33" t="n">
        <v>21</v>
      </c>
      <c r="J204" s="33" t="n">
        <v>46</v>
      </c>
      <c r="K204" s="33" t="n">
        <v>18</v>
      </c>
      <c r="L204" s="32" t="s">
        <v>166</v>
      </c>
      <c r="M204" s="32" t="s">
        <v>195</v>
      </c>
      <c r="N204" s="34"/>
      <c r="O204" s="35" t="n">
        <v>1</v>
      </c>
      <c r="P204" s="26" t="s">
        <v>28</v>
      </c>
      <c r="Q204" s="27"/>
    </row>
    <row r="205" customFormat="false" ht="15" hidden="false" customHeight="false" outlineLevel="0" collapsed="false">
      <c r="A205" s="32" t="s">
        <v>524</v>
      </c>
      <c r="B205" s="33" t="s">
        <v>33</v>
      </c>
      <c r="C205" s="33" t="n">
        <v>1</v>
      </c>
      <c r="D205" s="33" t="n">
        <v>155</v>
      </c>
      <c r="E205" s="33" t="n">
        <v>90</v>
      </c>
      <c r="F205" s="33" t="s">
        <v>517</v>
      </c>
      <c r="G205" s="33"/>
      <c r="H205" s="34" t="s">
        <v>525</v>
      </c>
      <c r="I205" s="33" t="n">
        <v>24</v>
      </c>
      <c r="J205" s="33" t="n">
        <v>47</v>
      </c>
      <c r="K205" s="33" t="n">
        <v>18</v>
      </c>
      <c r="L205" s="32" t="s">
        <v>159</v>
      </c>
      <c r="M205" s="32" t="s">
        <v>238</v>
      </c>
      <c r="N205" s="34" t="s">
        <v>526</v>
      </c>
      <c r="O205" s="35" t="n">
        <v>1</v>
      </c>
      <c r="P205" s="26" t="s">
        <v>28</v>
      </c>
      <c r="Q205" s="27"/>
    </row>
    <row r="206" customFormat="false" ht="15" hidden="false" customHeight="false" outlineLevel="0" collapsed="false">
      <c r="A206" s="32" t="s">
        <v>527</v>
      </c>
      <c r="B206" s="33" t="s">
        <v>33</v>
      </c>
      <c r="C206" s="33" t="n">
        <v>1</v>
      </c>
      <c r="D206" s="33" t="n">
        <v>155</v>
      </c>
      <c r="E206" s="33" t="n">
        <v>90</v>
      </c>
      <c r="F206" s="33" t="s">
        <v>517</v>
      </c>
      <c r="G206" s="33"/>
      <c r="H206" s="34" t="s">
        <v>528</v>
      </c>
      <c r="I206" s="33" t="n">
        <v>24</v>
      </c>
      <c r="J206" s="33" t="n">
        <v>50</v>
      </c>
      <c r="K206" s="33" t="n">
        <v>19</v>
      </c>
      <c r="L206" s="32" t="s">
        <v>179</v>
      </c>
      <c r="M206" s="32" t="s">
        <v>529</v>
      </c>
      <c r="N206" s="34"/>
      <c r="O206" s="35" t="n">
        <v>1</v>
      </c>
      <c r="P206" s="26" t="s">
        <v>28</v>
      </c>
      <c r="Q206" s="27"/>
    </row>
    <row r="207" customFormat="false" ht="15" hidden="false" customHeight="false" outlineLevel="0" collapsed="false">
      <c r="A207" s="32" t="s">
        <v>530</v>
      </c>
      <c r="B207" s="33" t="s">
        <v>33</v>
      </c>
      <c r="C207" s="33" t="n">
        <v>1</v>
      </c>
      <c r="D207" s="33" t="n">
        <v>155</v>
      </c>
      <c r="E207" s="33" t="n">
        <v>90</v>
      </c>
      <c r="F207" s="33" t="s">
        <v>517</v>
      </c>
      <c r="G207" s="33"/>
      <c r="H207" s="34" t="s">
        <v>531</v>
      </c>
      <c r="I207" s="33" t="n">
        <v>24</v>
      </c>
      <c r="J207" s="33" t="n">
        <v>51</v>
      </c>
      <c r="K207" s="33" t="n">
        <v>20</v>
      </c>
      <c r="L207" s="32" t="s">
        <v>179</v>
      </c>
      <c r="M207" s="32" t="s">
        <v>265</v>
      </c>
      <c r="N207" s="34"/>
      <c r="O207" s="35" t="n">
        <v>1</v>
      </c>
      <c r="P207" s="26" t="s">
        <v>28</v>
      </c>
      <c r="Q207" s="27"/>
    </row>
    <row r="208" customFormat="false" ht="15" hidden="false" customHeight="false" outlineLevel="0" collapsed="false">
      <c r="A208" s="32" t="s">
        <v>532</v>
      </c>
      <c r="B208" s="33" t="s">
        <v>33</v>
      </c>
      <c r="C208" s="33" t="n">
        <v>1</v>
      </c>
      <c r="D208" s="33" t="n">
        <v>155</v>
      </c>
      <c r="E208" s="33" t="n">
        <v>90</v>
      </c>
      <c r="F208" s="33" t="s">
        <v>517</v>
      </c>
      <c r="G208" s="33"/>
      <c r="H208" s="34" t="s">
        <v>533</v>
      </c>
      <c r="I208" s="33" t="n">
        <v>23</v>
      </c>
      <c r="J208" s="33" t="n">
        <v>51</v>
      </c>
      <c r="K208" s="33" t="n">
        <v>20</v>
      </c>
      <c r="L208" s="32" t="s">
        <v>179</v>
      </c>
      <c r="M208" s="32" t="s">
        <v>295</v>
      </c>
      <c r="N208" s="34" t="s">
        <v>526</v>
      </c>
      <c r="O208" s="35" t="n">
        <v>1</v>
      </c>
      <c r="P208" s="26" t="s">
        <v>28</v>
      </c>
      <c r="Q208" s="27"/>
    </row>
    <row r="209" customFormat="false" ht="15" hidden="false" customHeight="false" outlineLevel="0" collapsed="false">
      <c r="A209" s="32" t="s">
        <v>534</v>
      </c>
      <c r="B209" s="33" t="s">
        <v>33</v>
      </c>
      <c r="C209" s="33" t="n">
        <v>1</v>
      </c>
      <c r="D209" s="33" t="n">
        <v>155</v>
      </c>
      <c r="E209" s="33" t="n">
        <v>90</v>
      </c>
      <c r="F209" s="33" t="s">
        <v>517</v>
      </c>
      <c r="G209" s="33"/>
      <c r="H209" s="34" t="s">
        <v>535</v>
      </c>
      <c r="I209" s="33" t="n">
        <v>25</v>
      </c>
      <c r="J209" s="33" t="n">
        <v>52</v>
      </c>
      <c r="K209" s="33" t="n">
        <v>20</v>
      </c>
      <c r="L209" s="32" t="s">
        <v>179</v>
      </c>
      <c r="M209" s="32" t="s">
        <v>536</v>
      </c>
      <c r="N209" s="34"/>
      <c r="O209" s="35" t="n">
        <v>1</v>
      </c>
      <c r="P209" s="26" t="s">
        <v>28</v>
      </c>
      <c r="Q209" s="27"/>
    </row>
    <row r="210" customFormat="false" ht="15" hidden="false" customHeight="false" outlineLevel="0" collapsed="false">
      <c r="A210" s="32" t="s">
        <v>537</v>
      </c>
      <c r="B210" s="33" t="s">
        <v>33</v>
      </c>
      <c r="C210" s="33" t="n">
        <v>1</v>
      </c>
      <c r="D210" s="33" t="n">
        <v>155</v>
      </c>
      <c r="E210" s="33" t="n">
        <v>90</v>
      </c>
      <c r="F210" s="33" t="s">
        <v>517</v>
      </c>
      <c r="G210" s="33"/>
      <c r="H210" s="34" t="s">
        <v>538</v>
      </c>
      <c r="I210" s="33" t="n">
        <v>28</v>
      </c>
      <c r="J210" s="33" t="n">
        <v>56</v>
      </c>
      <c r="K210" s="33" t="n">
        <v>22</v>
      </c>
      <c r="L210" s="32" t="s">
        <v>179</v>
      </c>
      <c r="M210" s="32" t="s">
        <v>324</v>
      </c>
      <c r="N210" s="34"/>
      <c r="O210" s="35" t="n">
        <v>1</v>
      </c>
      <c r="P210" s="26" t="s">
        <v>28</v>
      </c>
      <c r="Q210" s="27"/>
    </row>
    <row r="211" customFormat="false" ht="15" hidden="false" customHeight="false" outlineLevel="0" collapsed="false">
      <c r="A211" s="32" t="s">
        <v>539</v>
      </c>
      <c r="B211" s="33" t="s">
        <v>33</v>
      </c>
      <c r="C211" s="33" t="n">
        <v>1</v>
      </c>
      <c r="D211" s="33" t="n">
        <v>155</v>
      </c>
      <c r="E211" s="33" t="n">
        <v>90</v>
      </c>
      <c r="F211" s="33" t="s">
        <v>517</v>
      </c>
      <c r="G211" s="33"/>
      <c r="H211" s="34" t="s">
        <v>540</v>
      </c>
      <c r="I211" s="33" t="n">
        <v>28</v>
      </c>
      <c r="J211" s="33" t="n">
        <v>59</v>
      </c>
      <c r="K211" s="33" t="n">
        <v>23</v>
      </c>
      <c r="L211" s="32" t="s">
        <v>179</v>
      </c>
      <c r="M211" s="32" t="s">
        <v>541</v>
      </c>
      <c r="N211" s="34"/>
      <c r="O211" s="35" t="n">
        <v>1</v>
      </c>
      <c r="P211" s="26" t="s">
        <v>28</v>
      </c>
      <c r="Q211" s="27"/>
    </row>
    <row r="212" customFormat="false" ht="15" hidden="false" customHeight="false" outlineLevel="0" collapsed="false">
      <c r="A212" s="32" t="s">
        <v>542</v>
      </c>
      <c r="B212" s="33" t="s">
        <v>33</v>
      </c>
      <c r="C212" s="33" t="n">
        <v>2</v>
      </c>
      <c r="D212" s="33" t="n">
        <v>169</v>
      </c>
      <c r="E212" s="33" t="n">
        <v>90</v>
      </c>
      <c r="F212" s="33" t="s">
        <v>517</v>
      </c>
      <c r="G212" s="33"/>
      <c r="H212" s="34" t="s">
        <v>543</v>
      </c>
      <c r="I212" s="33" t="n">
        <v>27</v>
      </c>
      <c r="J212" s="33" t="n">
        <v>59</v>
      </c>
      <c r="K212" s="33" t="n">
        <v>21</v>
      </c>
      <c r="L212" s="32" t="s">
        <v>166</v>
      </c>
      <c r="M212" s="32" t="s">
        <v>198</v>
      </c>
      <c r="N212" s="34"/>
      <c r="O212" s="35" t="n">
        <v>1</v>
      </c>
      <c r="P212" s="26" t="s">
        <v>28</v>
      </c>
      <c r="Q212" s="27"/>
    </row>
    <row r="213" customFormat="false" ht="15" hidden="false" customHeight="false" outlineLevel="0" collapsed="false">
      <c r="A213" s="32" t="s">
        <v>544</v>
      </c>
      <c r="B213" s="33" t="s">
        <v>33</v>
      </c>
      <c r="C213" s="33" t="n">
        <v>2</v>
      </c>
      <c r="D213" s="33" t="n">
        <v>169</v>
      </c>
      <c r="E213" s="33" t="n">
        <v>90</v>
      </c>
      <c r="F213" s="33" t="s">
        <v>517</v>
      </c>
      <c r="G213" s="33"/>
      <c r="H213" s="34" t="s">
        <v>545</v>
      </c>
      <c r="I213" s="33" t="n">
        <v>27</v>
      </c>
      <c r="J213" s="33" t="n">
        <v>60</v>
      </c>
      <c r="K213" s="33" t="n">
        <v>21</v>
      </c>
      <c r="L213" s="32" t="s">
        <v>179</v>
      </c>
      <c r="M213" s="32" t="s">
        <v>546</v>
      </c>
      <c r="N213" s="34"/>
      <c r="O213" s="35" t="n">
        <v>1</v>
      </c>
      <c r="P213" s="26" t="s">
        <v>28</v>
      </c>
      <c r="Q213" s="27"/>
    </row>
    <row r="214" customFormat="false" ht="15" hidden="false" customHeight="false" outlineLevel="0" collapsed="false">
      <c r="A214" s="32" t="s">
        <v>547</v>
      </c>
      <c r="B214" s="33" t="s">
        <v>33</v>
      </c>
      <c r="C214" s="33" t="n">
        <v>2</v>
      </c>
      <c r="D214" s="33" t="n">
        <v>169</v>
      </c>
      <c r="E214" s="33" t="n">
        <v>90</v>
      </c>
      <c r="F214" s="33" t="s">
        <v>517</v>
      </c>
      <c r="G214" s="33"/>
      <c r="H214" s="34" t="s">
        <v>548</v>
      </c>
      <c r="I214" s="33" t="n">
        <v>28</v>
      </c>
      <c r="J214" s="33" t="n">
        <v>60</v>
      </c>
      <c r="K214" s="33" t="n">
        <v>21</v>
      </c>
      <c r="L214" s="32" t="s">
        <v>159</v>
      </c>
      <c r="M214" s="32" t="s">
        <v>302</v>
      </c>
      <c r="N214" s="34"/>
      <c r="O214" s="35" t="n">
        <v>1</v>
      </c>
      <c r="P214" s="26" t="s">
        <v>28</v>
      </c>
      <c r="Q214" s="27"/>
    </row>
    <row r="215" customFormat="false" ht="15" hidden="false" customHeight="false" outlineLevel="0" collapsed="false">
      <c r="A215" s="32" t="s">
        <v>549</v>
      </c>
      <c r="B215" s="33" t="s">
        <v>33</v>
      </c>
      <c r="C215" s="33" t="n">
        <v>2</v>
      </c>
      <c r="D215" s="33" t="n">
        <v>169</v>
      </c>
      <c r="E215" s="33" t="n">
        <v>90</v>
      </c>
      <c r="F215" s="33" t="s">
        <v>517</v>
      </c>
      <c r="G215" s="33"/>
      <c r="H215" s="34" t="s">
        <v>550</v>
      </c>
      <c r="I215" s="33" t="n">
        <v>27</v>
      </c>
      <c r="J215" s="33" t="n">
        <v>62</v>
      </c>
      <c r="K215" s="33" t="n">
        <v>22</v>
      </c>
      <c r="L215" s="32" t="s">
        <v>159</v>
      </c>
      <c r="M215" s="32" t="s">
        <v>176</v>
      </c>
      <c r="N215" s="34" t="s">
        <v>526</v>
      </c>
      <c r="O215" s="35" t="n">
        <v>1</v>
      </c>
      <c r="P215" s="26" t="s">
        <v>28</v>
      </c>
      <c r="Q215" s="27"/>
    </row>
    <row r="216" customFormat="false" ht="15" hidden="false" customHeight="false" outlineLevel="0" collapsed="false">
      <c r="A216" s="32" t="s">
        <v>551</v>
      </c>
      <c r="B216" s="33" t="s">
        <v>33</v>
      </c>
      <c r="C216" s="33" t="n">
        <v>2</v>
      </c>
      <c r="D216" s="33" t="n">
        <v>169</v>
      </c>
      <c r="E216" s="33" t="n">
        <v>90</v>
      </c>
      <c r="F216" s="33" t="s">
        <v>517</v>
      </c>
      <c r="G216" s="33"/>
      <c r="H216" s="34" t="s">
        <v>552</v>
      </c>
      <c r="I216" s="33" t="n">
        <v>28</v>
      </c>
      <c r="J216" s="33" t="n">
        <v>62</v>
      </c>
      <c r="K216" s="33" t="n">
        <v>22</v>
      </c>
      <c r="L216" s="32" t="s">
        <v>152</v>
      </c>
      <c r="M216" s="32" t="s">
        <v>163</v>
      </c>
      <c r="N216" s="34"/>
      <c r="O216" s="35" t="n">
        <v>1</v>
      </c>
      <c r="P216" s="26" t="s">
        <v>28</v>
      </c>
      <c r="Q216" s="27"/>
    </row>
    <row r="217" customFormat="false" ht="15" hidden="false" customHeight="false" outlineLevel="0" collapsed="false">
      <c r="A217" s="32" t="s">
        <v>553</v>
      </c>
      <c r="B217" s="33" t="s">
        <v>33</v>
      </c>
      <c r="C217" s="33" t="n">
        <v>2</v>
      </c>
      <c r="D217" s="33" t="n">
        <v>169</v>
      </c>
      <c r="E217" s="33" t="n">
        <v>90</v>
      </c>
      <c r="F217" s="33" t="s">
        <v>517</v>
      </c>
      <c r="G217" s="33"/>
      <c r="H217" s="34" t="s">
        <v>554</v>
      </c>
      <c r="I217" s="33" t="n">
        <v>31</v>
      </c>
      <c r="J217" s="33" t="n">
        <v>64</v>
      </c>
      <c r="K217" s="33" t="n">
        <v>23</v>
      </c>
      <c r="L217" s="32" t="s">
        <v>179</v>
      </c>
      <c r="M217" s="32" t="s">
        <v>425</v>
      </c>
      <c r="N217" s="34"/>
      <c r="O217" s="35" t="n">
        <v>1</v>
      </c>
      <c r="P217" s="26" t="s">
        <v>28</v>
      </c>
      <c r="Q217" s="27"/>
    </row>
    <row r="218" customFormat="false" ht="15" hidden="false" customHeight="false" outlineLevel="0" collapsed="false">
      <c r="A218" s="32" t="s">
        <v>555</v>
      </c>
      <c r="B218" s="33" t="s">
        <v>33</v>
      </c>
      <c r="C218" s="33" t="n">
        <v>2</v>
      </c>
      <c r="D218" s="33" t="n">
        <v>169</v>
      </c>
      <c r="E218" s="33" t="n">
        <v>90</v>
      </c>
      <c r="F218" s="33" t="s">
        <v>517</v>
      </c>
      <c r="G218" s="33"/>
      <c r="H218" s="34" t="s">
        <v>556</v>
      </c>
      <c r="I218" s="33" t="n">
        <v>31</v>
      </c>
      <c r="J218" s="33" t="n">
        <v>64</v>
      </c>
      <c r="K218" s="33" t="n">
        <v>23</v>
      </c>
      <c r="L218" s="32" t="s">
        <v>159</v>
      </c>
      <c r="M218" s="32" t="s">
        <v>557</v>
      </c>
      <c r="N218" s="34"/>
      <c r="O218" s="35" t="n">
        <v>1</v>
      </c>
      <c r="P218" s="26" t="s">
        <v>28</v>
      </c>
      <c r="Q218" s="27"/>
    </row>
    <row r="219" customFormat="false" ht="15" hidden="false" customHeight="false" outlineLevel="0" collapsed="false">
      <c r="A219" s="32" t="s">
        <v>558</v>
      </c>
      <c r="B219" s="33" t="s">
        <v>33</v>
      </c>
      <c r="C219" s="33" t="n">
        <v>2</v>
      </c>
      <c r="D219" s="33" t="n">
        <v>169</v>
      </c>
      <c r="E219" s="33" t="n">
        <v>90</v>
      </c>
      <c r="F219" s="33" t="s">
        <v>517</v>
      </c>
      <c r="G219" s="33"/>
      <c r="H219" s="34" t="s">
        <v>559</v>
      </c>
      <c r="I219" s="33" t="n">
        <v>27</v>
      </c>
      <c r="J219" s="33" t="n">
        <v>65</v>
      </c>
      <c r="K219" s="33" t="n">
        <v>23</v>
      </c>
      <c r="L219" s="32" t="s">
        <v>152</v>
      </c>
      <c r="M219" s="32" t="s">
        <v>190</v>
      </c>
      <c r="N219" s="34"/>
      <c r="O219" s="35" t="n">
        <v>1</v>
      </c>
      <c r="P219" s="26" t="s">
        <v>28</v>
      </c>
      <c r="Q219" s="27"/>
    </row>
    <row r="220" customFormat="false" ht="15" hidden="false" customHeight="false" outlineLevel="0" collapsed="false">
      <c r="A220" s="32" t="s">
        <v>560</v>
      </c>
      <c r="B220" s="33" t="s">
        <v>33</v>
      </c>
      <c r="C220" s="33" t="n">
        <v>2</v>
      </c>
      <c r="D220" s="33" t="n">
        <v>169</v>
      </c>
      <c r="E220" s="33" t="n">
        <v>90</v>
      </c>
      <c r="F220" s="33" t="s">
        <v>517</v>
      </c>
      <c r="G220" s="33"/>
      <c r="H220" s="34" t="s">
        <v>561</v>
      </c>
      <c r="I220" s="33" t="n">
        <v>30</v>
      </c>
      <c r="J220" s="33" t="n">
        <v>65</v>
      </c>
      <c r="K220" s="33" t="n">
        <v>23</v>
      </c>
      <c r="L220" s="32" t="s">
        <v>179</v>
      </c>
      <c r="M220" s="32" t="s">
        <v>245</v>
      </c>
      <c r="N220" s="34"/>
      <c r="O220" s="35" t="n">
        <v>1</v>
      </c>
      <c r="P220" s="26" t="s">
        <v>28</v>
      </c>
      <c r="Q220" s="27"/>
    </row>
    <row r="221" customFormat="false" ht="15" hidden="false" customHeight="false" outlineLevel="0" collapsed="false">
      <c r="A221" s="32" t="s">
        <v>562</v>
      </c>
      <c r="B221" s="33" t="s">
        <v>33</v>
      </c>
      <c r="C221" s="33" t="n">
        <v>2</v>
      </c>
      <c r="D221" s="33" t="n">
        <v>169</v>
      </c>
      <c r="E221" s="33" t="n">
        <v>90</v>
      </c>
      <c r="F221" s="33" t="s">
        <v>517</v>
      </c>
      <c r="G221" s="33"/>
      <c r="H221" s="34" t="s">
        <v>563</v>
      </c>
      <c r="I221" s="33" t="n">
        <v>30</v>
      </c>
      <c r="J221" s="33" t="n">
        <v>66</v>
      </c>
      <c r="K221" s="33" t="n">
        <v>23</v>
      </c>
      <c r="L221" s="32" t="s">
        <v>179</v>
      </c>
      <c r="M221" s="32" t="s">
        <v>207</v>
      </c>
      <c r="N221" s="34"/>
      <c r="O221" s="35" t="n">
        <v>1</v>
      </c>
      <c r="P221" s="26" t="s">
        <v>28</v>
      </c>
      <c r="Q221" s="27"/>
    </row>
    <row r="222" customFormat="false" ht="15" hidden="false" customHeight="false" outlineLevel="0" collapsed="false">
      <c r="A222" s="32" t="s">
        <v>564</v>
      </c>
      <c r="B222" s="33" t="s">
        <v>33</v>
      </c>
      <c r="C222" s="33" t="n">
        <v>3</v>
      </c>
      <c r="D222" s="33" t="n">
        <v>182</v>
      </c>
      <c r="E222" s="33" t="n">
        <v>90</v>
      </c>
      <c r="F222" s="33" t="s">
        <v>517</v>
      </c>
      <c r="G222" s="33"/>
      <c r="H222" s="34" t="s">
        <v>565</v>
      </c>
      <c r="I222" s="33" t="n">
        <v>30</v>
      </c>
      <c r="J222" s="33" t="n">
        <v>67</v>
      </c>
      <c r="K222" s="33" t="n">
        <v>22</v>
      </c>
      <c r="L222" s="32" t="s">
        <v>179</v>
      </c>
      <c r="M222" s="32" t="s">
        <v>566</v>
      </c>
      <c r="N222" s="34"/>
      <c r="O222" s="35" t="n">
        <v>1</v>
      </c>
      <c r="P222" s="26" t="s">
        <v>28</v>
      </c>
      <c r="Q222" s="27"/>
    </row>
    <row r="223" customFormat="false" ht="15" hidden="false" customHeight="false" outlineLevel="0" collapsed="false">
      <c r="A223" s="32" t="s">
        <v>567</v>
      </c>
      <c r="B223" s="33" t="s">
        <v>33</v>
      </c>
      <c r="C223" s="33" t="n">
        <v>3</v>
      </c>
      <c r="D223" s="33" t="n">
        <v>182</v>
      </c>
      <c r="E223" s="33" t="n">
        <v>90</v>
      </c>
      <c r="F223" s="33" t="s">
        <v>517</v>
      </c>
      <c r="G223" s="33"/>
      <c r="H223" s="34" t="s">
        <v>568</v>
      </c>
      <c r="I223" s="33" t="n">
        <v>29</v>
      </c>
      <c r="J223" s="33" t="n">
        <v>67</v>
      </c>
      <c r="K223" s="33" t="n">
        <v>22</v>
      </c>
      <c r="L223" s="32" t="s">
        <v>152</v>
      </c>
      <c r="M223" s="32" t="s">
        <v>341</v>
      </c>
      <c r="N223" s="34"/>
      <c r="O223" s="35" t="n">
        <v>1</v>
      </c>
      <c r="P223" s="26" t="s">
        <v>28</v>
      </c>
      <c r="Q223" s="27"/>
    </row>
    <row r="224" customFormat="false" ht="15" hidden="false" customHeight="false" outlineLevel="0" collapsed="false">
      <c r="A224" s="32" t="s">
        <v>569</v>
      </c>
      <c r="B224" s="33" t="s">
        <v>33</v>
      </c>
      <c r="C224" s="33" t="n">
        <v>3</v>
      </c>
      <c r="D224" s="33" t="n">
        <v>182</v>
      </c>
      <c r="E224" s="33" t="n">
        <v>90</v>
      </c>
      <c r="F224" s="33" t="s">
        <v>517</v>
      </c>
      <c r="G224" s="33"/>
      <c r="H224" s="34" t="s">
        <v>570</v>
      </c>
      <c r="I224" s="33" t="n">
        <v>32</v>
      </c>
      <c r="J224" s="33" t="n">
        <v>68</v>
      </c>
      <c r="K224" s="33" t="n">
        <v>22</v>
      </c>
      <c r="L224" s="32" t="s">
        <v>159</v>
      </c>
      <c r="M224" s="32" t="s">
        <v>160</v>
      </c>
      <c r="N224" s="34"/>
      <c r="O224" s="35" t="n">
        <v>1</v>
      </c>
      <c r="P224" s="26" t="s">
        <v>28</v>
      </c>
      <c r="Q224" s="27"/>
    </row>
    <row r="225" customFormat="false" ht="15" hidden="false" customHeight="false" outlineLevel="0" collapsed="false">
      <c r="A225" s="32" t="s">
        <v>571</v>
      </c>
      <c r="B225" s="33" t="s">
        <v>33</v>
      </c>
      <c r="C225" s="33" t="n">
        <v>3</v>
      </c>
      <c r="D225" s="33" t="n">
        <v>182</v>
      </c>
      <c r="E225" s="33" t="n">
        <v>90</v>
      </c>
      <c r="F225" s="33" t="s">
        <v>517</v>
      </c>
      <c r="G225" s="33"/>
      <c r="H225" s="34" t="s">
        <v>572</v>
      </c>
      <c r="I225" s="33" t="n">
        <v>33</v>
      </c>
      <c r="J225" s="33" t="n">
        <v>69</v>
      </c>
      <c r="K225" s="33" t="n">
        <v>23</v>
      </c>
      <c r="L225" s="32" t="s">
        <v>159</v>
      </c>
      <c r="M225" s="32" t="s">
        <v>302</v>
      </c>
      <c r="N225" s="34"/>
      <c r="O225" s="35" t="n">
        <v>1</v>
      </c>
      <c r="P225" s="26" t="s">
        <v>28</v>
      </c>
      <c r="Q225" s="27"/>
    </row>
    <row r="226" customFormat="false" ht="15" hidden="false" customHeight="false" outlineLevel="0" collapsed="false">
      <c r="A226" s="32" t="s">
        <v>573</v>
      </c>
      <c r="B226" s="33" t="s">
        <v>33</v>
      </c>
      <c r="C226" s="33" t="n">
        <v>3</v>
      </c>
      <c r="D226" s="33" t="n">
        <v>182</v>
      </c>
      <c r="E226" s="33" t="n">
        <v>90</v>
      </c>
      <c r="F226" s="33" t="s">
        <v>517</v>
      </c>
      <c r="G226" s="33"/>
      <c r="H226" s="34" t="s">
        <v>574</v>
      </c>
      <c r="I226" s="33" t="n">
        <v>32</v>
      </c>
      <c r="J226" s="33" t="n">
        <v>70</v>
      </c>
      <c r="K226" s="33" t="n">
        <v>23</v>
      </c>
      <c r="L226" s="32" t="s">
        <v>179</v>
      </c>
      <c r="M226" s="32" t="s">
        <v>180</v>
      </c>
      <c r="N226" s="34" t="s">
        <v>526</v>
      </c>
      <c r="O226" s="35" t="n">
        <v>1</v>
      </c>
      <c r="P226" s="26" t="s">
        <v>28</v>
      </c>
      <c r="Q226" s="27"/>
    </row>
    <row r="227" customFormat="false" ht="15" hidden="false" customHeight="false" outlineLevel="0" collapsed="false">
      <c r="A227" s="32" t="s">
        <v>575</v>
      </c>
      <c r="B227" s="33" t="s">
        <v>33</v>
      </c>
      <c r="C227" s="33" t="n">
        <v>3</v>
      </c>
      <c r="D227" s="33" t="n">
        <v>182</v>
      </c>
      <c r="E227" s="33" t="n">
        <v>90</v>
      </c>
      <c r="F227" s="33" t="s">
        <v>517</v>
      </c>
      <c r="G227" s="33"/>
      <c r="H227" s="34" t="s">
        <v>576</v>
      </c>
      <c r="I227" s="33" t="n">
        <v>34</v>
      </c>
      <c r="J227" s="33" t="n">
        <v>70</v>
      </c>
      <c r="K227" s="33" t="n">
        <v>23</v>
      </c>
      <c r="L227" s="32" t="s">
        <v>159</v>
      </c>
      <c r="M227" s="32" t="s">
        <v>577</v>
      </c>
      <c r="N227" s="34"/>
      <c r="O227" s="35" t="n">
        <v>1</v>
      </c>
      <c r="P227" s="26" t="s">
        <v>28</v>
      </c>
      <c r="Q227" s="27"/>
    </row>
    <row r="228" customFormat="false" ht="15" hidden="false" customHeight="false" outlineLevel="0" collapsed="false">
      <c r="A228" s="32" t="s">
        <v>578</v>
      </c>
      <c r="B228" s="33" t="s">
        <v>33</v>
      </c>
      <c r="C228" s="33" t="n">
        <v>3</v>
      </c>
      <c r="D228" s="33" t="n">
        <v>182</v>
      </c>
      <c r="E228" s="33" t="n">
        <v>90</v>
      </c>
      <c r="F228" s="33" t="s">
        <v>517</v>
      </c>
      <c r="G228" s="33"/>
      <c r="H228" s="34" t="s">
        <v>579</v>
      </c>
      <c r="I228" s="33" t="n">
        <v>31</v>
      </c>
      <c r="J228" s="33" t="n">
        <v>70</v>
      </c>
      <c r="K228" s="33" t="n">
        <v>23</v>
      </c>
      <c r="L228" s="32" t="s">
        <v>179</v>
      </c>
      <c r="M228" s="32" t="s">
        <v>580</v>
      </c>
      <c r="N228" s="34"/>
      <c r="O228" s="35" t="n">
        <v>1</v>
      </c>
      <c r="P228" s="26" t="s">
        <v>28</v>
      </c>
      <c r="Q228" s="27"/>
    </row>
    <row r="229" customFormat="false" ht="15" hidden="false" customHeight="false" outlineLevel="0" collapsed="false">
      <c r="A229" s="32" t="s">
        <v>581</v>
      </c>
      <c r="B229" s="33" t="s">
        <v>33</v>
      </c>
      <c r="C229" s="33" t="n">
        <v>3</v>
      </c>
      <c r="D229" s="33" t="n">
        <v>182</v>
      </c>
      <c r="E229" s="33" t="n">
        <v>90</v>
      </c>
      <c r="F229" s="33" t="s">
        <v>517</v>
      </c>
      <c r="G229" s="33"/>
      <c r="H229" s="34" t="s">
        <v>582</v>
      </c>
      <c r="I229" s="33" t="n">
        <v>34</v>
      </c>
      <c r="J229" s="33" t="n">
        <v>71</v>
      </c>
      <c r="K229" s="33" t="n">
        <v>23</v>
      </c>
      <c r="L229" s="32" t="s">
        <v>159</v>
      </c>
      <c r="M229" s="32" t="s">
        <v>583</v>
      </c>
      <c r="N229" s="34"/>
      <c r="O229" s="35" t="n">
        <v>1</v>
      </c>
      <c r="P229" s="26" t="s">
        <v>28</v>
      </c>
      <c r="Q229" s="27"/>
    </row>
    <row r="230" customFormat="false" ht="15" hidden="false" customHeight="false" outlineLevel="0" collapsed="false">
      <c r="A230" s="32" t="s">
        <v>584</v>
      </c>
      <c r="B230" s="33" t="s">
        <v>33</v>
      </c>
      <c r="C230" s="33" t="n">
        <v>3</v>
      </c>
      <c r="D230" s="33" t="n">
        <v>182</v>
      </c>
      <c r="E230" s="33" t="n">
        <v>90</v>
      </c>
      <c r="F230" s="33" t="s">
        <v>517</v>
      </c>
      <c r="G230" s="33"/>
      <c r="H230" s="34" t="s">
        <v>585</v>
      </c>
      <c r="I230" s="33" t="n">
        <v>34</v>
      </c>
      <c r="J230" s="33" t="n">
        <v>71</v>
      </c>
      <c r="K230" s="33" t="n">
        <v>23</v>
      </c>
      <c r="L230" s="32" t="s">
        <v>179</v>
      </c>
      <c r="M230" s="32" t="s">
        <v>536</v>
      </c>
      <c r="N230" s="34"/>
      <c r="O230" s="35" t="n">
        <v>1</v>
      </c>
      <c r="P230" s="26" t="s">
        <v>28</v>
      </c>
      <c r="Q230" s="27"/>
    </row>
    <row r="231" customFormat="false" ht="15" hidden="false" customHeight="false" outlineLevel="0" collapsed="false">
      <c r="A231" s="32" t="s">
        <v>586</v>
      </c>
      <c r="B231" s="33" t="s">
        <v>33</v>
      </c>
      <c r="C231" s="33" t="n">
        <v>3</v>
      </c>
      <c r="D231" s="33" t="n">
        <v>182</v>
      </c>
      <c r="E231" s="33" t="n">
        <v>90</v>
      </c>
      <c r="F231" s="33" t="s">
        <v>517</v>
      </c>
      <c r="G231" s="33"/>
      <c r="H231" s="34" t="s">
        <v>587</v>
      </c>
      <c r="I231" s="33" t="n">
        <v>33</v>
      </c>
      <c r="J231" s="33" t="n">
        <v>71</v>
      </c>
      <c r="K231" s="33" t="n">
        <v>23</v>
      </c>
      <c r="L231" s="32" t="s">
        <v>179</v>
      </c>
      <c r="M231" s="32" t="s">
        <v>536</v>
      </c>
      <c r="N231" s="34"/>
      <c r="O231" s="35" t="n">
        <v>1</v>
      </c>
      <c r="P231" s="26" t="s">
        <v>28</v>
      </c>
      <c r="Q231" s="27"/>
    </row>
    <row r="232" customFormat="false" ht="15" hidden="false" customHeight="false" outlineLevel="0" collapsed="false">
      <c r="A232" s="32" t="s">
        <v>588</v>
      </c>
      <c r="B232" s="33" t="s">
        <v>33</v>
      </c>
      <c r="C232" s="33" t="n">
        <v>3</v>
      </c>
      <c r="D232" s="33" t="n">
        <v>182</v>
      </c>
      <c r="E232" s="33" t="n">
        <v>90</v>
      </c>
      <c r="F232" s="33" t="s">
        <v>517</v>
      </c>
      <c r="G232" s="33"/>
      <c r="H232" s="34" t="s">
        <v>589</v>
      </c>
      <c r="I232" s="33" t="n">
        <v>34</v>
      </c>
      <c r="J232" s="33" t="n">
        <v>71</v>
      </c>
      <c r="K232" s="33" t="n">
        <v>23</v>
      </c>
      <c r="L232" s="32" t="s">
        <v>179</v>
      </c>
      <c r="M232" s="32" t="s">
        <v>521</v>
      </c>
      <c r="N232" s="34"/>
      <c r="O232" s="35" t="n">
        <v>1</v>
      </c>
      <c r="P232" s="26" t="s">
        <v>28</v>
      </c>
      <c r="Q232" s="27"/>
    </row>
    <row r="233" customFormat="false" ht="15" hidden="false" customHeight="false" outlineLevel="0" collapsed="false">
      <c r="A233" s="32" t="s">
        <v>590</v>
      </c>
      <c r="B233" s="33" t="s">
        <v>33</v>
      </c>
      <c r="C233" s="33" t="n">
        <v>4</v>
      </c>
      <c r="D233" s="33" t="n">
        <v>196</v>
      </c>
      <c r="E233" s="33" t="n">
        <v>90</v>
      </c>
      <c r="F233" s="33" t="s">
        <v>517</v>
      </c>
      <c r="G233" s="33"/>
      <c r="H233" s="34" t="s">
        <v>591</v>
      </c>
      <c r="I233" s="33" t="n">
        <v>33</v>
      </c>
      <c r="J233" s="33" t="n">
        <v>71</v>
      </c>
      <c r="K233" s="33" t="n">
        <v>22</v>
      </c>
      <c r="L233" s="32" t="s">
        <v>166</v>
      </c>
      <c r="M233" s="32" t="s">
        <v>460</v>
      </c>
      <c r="N233" s="34"/>
      <c r="O233" s="35" t="n">
        <v>1</v>
      </c>
      <c r="P233" s="26" t="s">
        <v>28</v>
      </c>
      <c r="Q233" s="27"/>
    </row>
    <row r="234" customFormat="false" ht="15" hidden="false" customHeight="false" outlineLevel="0" collapsed="false">
      <c r="A234" s="32" t="s">
        <v>592</v>
      </c>
      <c r="B234" s="33" t="s">
        <v>33</v>
      </c>
      <c r="C234" s="33" t="n">
        <v>4</v>
      </c>
      <c r="D234" s="33" t="n">
        <v>196</v>
      </c>
      <c r="E234" s="33" t="n">
        <v>90</v>
      </c>
      <c r="F234" s="33" t="s">
        <v>517</v>
      </c>
      <c r="G234" s="33"/>
      <c r="H234" s="34" t="s">
        <v>593</v>
      </c>
      <c r="I234" s="33" t="n">
        <v>33</v>
      </c>
      <c r="J234" s="33" t="n">
        <v>73</v>
      </c>
      <c r="K234" s="33" t="n">
        <v>22</v>
      </c>
      <c r="L234" s="32" t="s">
        <v>159</v>
      </c>
      <c r="M234" s="32" t="s">
        <v>160</v>
      </c>
      <c r="N234" s="34" t="s">
        <v>526</v>
      </c>
      <c r="O234" s="35" t="n">
        <v>1</v>
      </c>
      <c r="P234" s="26" t="s">
        <v>28</v>
      </c>
      <c r="Q234" s="27"/>
    </row>
    <row r="235" customFormat="false" ht="15" hidden="false" customHeight="false" outlineLevel="0" collapsed="false">
      <c r="A235" s="32" t="s">
        <v>594</v>
      </c>
      <c r="B235" s="33" t="s">
        <v>33</v>
      </c>
      <c r="C235" s="33" t="n">
        <v>4</v>
      </c>
      <c r="D235" s="33" t="n">
        <v>196</v>
      </c>
      <c r="E235" s="33" t="n">
        <v>90</v>
      </c>
      <c r="F235" s="33" t="s">
        <v>517</v>
      </c>
      <c r="G235" s="33"/>
      <c r="H235" s="34" t="s">
        <v>595</v>
      </c>
      <c r="I235" s="33" t="n">
        <v>35</v>
      </c>
      <c r="J235" s="33" t="n">
        <v>75</v>
      </c>
      <c r="K235" s="33" t="n">
        <v>23</v>
      </c>
      <c r="L235" s="32" t="s">
        <v>186</v>
      </c>
      <c r="M235" s="32" t="s">
        <v>596</v>
      </c>
      <c r="N235" s="34"/>
      <c r="O235" s="35" t="n">
        <v>1</v>
      </c>
      <c r="P235" s="26" t="s">
        <v>28</v>
      </c>
      <c r="Q235" s="27"/>
    </row>
    <row r="236" customFormat="false" ht="15" hidden="false" customHeight="false" outlineLevel="0" collapsed="false">
      <c r="A236" s="32" t="s">
        <v>597</v>
      </c>
      <c r="B236" s="33" t="s">
        <v>33</v>
      </c>
      <c r="C236" s="33" t="n">
        <v>4</v>
      </c>
      <c r="D236" s="33" t="n">
        <v>196</v>
      </c>
      <c r="E236" s="33" t="n">
        <v>90</v>
      </c>
      <c r="F236" s="33" t="s">
        <v>517</v>
      </c>
      <c r="G236" s="33"/>
      <c r="H236" s="34" t="s">
        <v>598</v>
      </c>
      <c r="I236" s="33" t="n">
        <v>33</v>
      </c>
      <c r="J236" s="33" t="n">
        <v>75</v>
      </c>
      <c r="K236" s="33" t="n">
        <v>23</v>
      </c>
      <c r="L236" s="32" t="s">
        <v>186</v>
      </c>
      <c r="M236" s="32" t="s">
        <v>220</v>
      </c>
      <c r="N236" s="34"/>
      <c r="O236" s="35" t="n">
        <v>1</v>
      </c>
      <c r="P236" s="26" t="s">
        <v>28</v>
      </c>
      <c r="Q236" s="27"/>
    </row>
    <row r="237" customFormat="false" ht="15" hidden="false" customHeight="false" outlineLevel="0" collapsed="false">
      <c r="A237" s="32" t="s">
        <v>599</v>
      </c>
      <c r="B237" s="33" t="s">
        <v>33</v>
      </c>
      <c r="C237" s="33" t="n">
        <v>4</v>
      </c>
      <c r="D237" s="33" t="n">
        <v>196</v>
      </c>
      <c r="E237" s="33" t="n">
        <v>90</v>
      </c>
      <c r="F237" s="33" t="s">
        <v>517</v>
      </c>
      <c r="G237" s="33"/>
      <c r="H237" s="34" t="s">
        <v>600</v>
      </c>
      <c r="I237" s="33" t="n">
        <v>35</v>
      </c>
      <c r="J237" s="33" t="n">
        <v>75</v>
      </c>
      <c r="K237" s="33" t="n">
        <v>23</v>
      </c>
      <c r="L237" s="32" t="s">
        <v>152</v>
      </c>
      <c r="M237" s="32" t="s">
        <v>601</v>
      </c>
      <c r="N237" s="34"/>
      <c r="O237" s="35" t="n">
        <v>1</v>
      </c>
      <c r="P237" s="26" t="s">
        <v>28</v>
      </c>
      <c r="Q237" s="27"/>
    </row>
    <row r="238" customFormat="false" ht="15" hidden="false" customHeight="false" outlineLevel="0" collapsed="false">
      <c r="A238" s="32" t="s">
        <v>602</v>
      </c>
      <c r="B238" s="33" t="s">
        <v>33</v>
      </c>
      <c r="C238" s="33" t="n">
        <v>4</v>
      </c>
      <c r="D238" s="33" t="n">
        <v>196</v>
      </c>
      <c r="E238" s="33" t="n">
        <v>90</v>
      </c>
      <c r="F238" s="33" t="s">
        <v>517</v>
      </c>
      <c r="G238" s="33"/>
      <c r="H238" s="34" t="s">
        <v>603</v>
      </c>
      <c r="I238" s="33" t="n">
        <v>34</v>
      </c>
      <c r="J238" s="33" t="n">
        <v>76</v>
      </c>
      <c r="K238" s="33" t="n">
        <v>23</v>
      </c>
      <c r="L238" s="32" t="s">
        <v>186</v>
      </c>
      <c r="M238" s="32" t="s">
        <v>604</v>
      </c>
      <c r="N238" s="34"/>
      <c r="O238" s="35" t="n">
        <v>1</v>
      </c>
      <c r="P238" s="26" t="s">
        <v>28</v>
      </c>
      <c r="Q238" s="27"/>
    </row>
    <row r="239" customFormat="false" ht="15" hidden="false" customHeight="false" outlineLevel="0" collapsed="false">
      <c r="A239" s="32" t="s">
        <v>605</v>
      </c>
      <c r="B239" s="33" t="s">
        <v>33</v>
      </c>
      <c r="C239" s="33" t="n">
        <v>4</v>
      </c>
      <c r="D239" s="33" t="n">
        <v>196</v>
      </c>
      <c r="E239" s="33" t="n">
        <v>90</v>
      </c>
      <c r="F239" s="33" t="s">
        <v>517</v>
      </c>
      <c r="G239" s="33"/>
      <c r="H239" s="34" t="s">
        <v>606</v>
      </c>
      <c r="I239" s="33" t="n">
        <v>35</v>
      </c>
      <c r="J239" s="33" t="n">
        <v>77</v>
      </c>
      <c r="K239" s="33" t="n">
        <v>24</v>
      </c>
      <c r="L239" s="32" t="s">
        <v>159</v>
      </c>
      <c r="M239" s="32" t="s">
        <v>173</v>
      </c>
      <c r="N239" s="34" t="s">
        <v>526</v>
      </c>
      <c r="O239" s="35" t="n">
        <v>1</v>
      </c>
      <c r="P239" s="26" t="s">
        <v>28</v>
      </c>
      <c r="Q239" s="27"/>
    </row>
    <row r="240" customFormat="false" ht="15" hidden="false" customHeight="false" outlineLevel="0" collapsed="false">
      <c r="A240" s="32" t="s">
        <v>607</v>
      </c>
      <c r="B240" s="33" t="s">
        <v>33</v>
      </c>
      <c r="C240" s="33" t="n">
        <v>4</v>
      </c>
      <c r="D240" s="33" t="n">
        <v>196</v>
      </c>
      <c r="E240" s="33" t="n">
        <v>90</v>
      </c>
      <c r="F240" s="33" t="s">
        <v>517</v>
      </c>
      <c r="G240" s="33"/>
      <c r="H240" s="34" t="s">
        <v>608</v>
      </c>
      <c r="I240" s="33" t="n">
        <v>35</v>
      </c>
      <c r="J240" s="33" t="n">
        <v>78</v>
      </c>
      <c r="K240" s="33" t="n">
        <v>24</v>
      </c>
      <c r="L240" s="32" t="s">
        <v>179</v>
      </c>
      <c r="M240" s="32" t="s">
        <v>609</v>
      </c>
      <c r="N240" s="34"/>
      <c r="O240" s="35" t="n">
        <v>1</v>
      </c>
      <c r="P240" s="26" t="s">
        <v>28</v>
      </c>
      <c r="Q240" s="27"/>
    </row>
    <row r="241" customFormat="false" ht="15" hidden="false" customHeight="false" outlineLevel="0" collapsed="false">
      <c r="A241" s="32" t="s">
        <v>610</v>
      </c>
      <c r="B241" s="33" t="s">
        <v>33</v>
      </c>
      <c r="C241" s="33" t="n">
        <v>4</v>
      </c>
      <c r="D241" s="33" t="n">
        <v>196</v>
      </c>
      <c r="E241" s="33" t="n">
        <v>90</v>
      </c>
      <c r="F241" s="33" t="s">
        <v>517</v>
      </c>
      <c r="G241" s="33"/>
      <c r="H241" s="34" t="s">
        <v>611</v>
      </c>
      <c r="I241" s="33" t="n">
        <v>32</v>
      </c>
      <c r="J241" s="33" t="n">
        <v>78</v>
      </c>
      <c r="K241" s="33" t="n">
        <v>24</v>
      </c>
      <c r="L241" s="32" t="s">
        <v>179</v>
      </c>
      <c r="M241" s="32" t="s">
        <v>245</v>
      </c>
      <c r="N241" s="34"/>
      <c r="O241" s="35" t="n">
        <v>1</v>
      </c>
      <c r="P241" s="26" t="s">
        <v>28</v>
      </c>
      <c r="Q241" s="27"/>
    </row>
    <row r="242" customFormat="false" ht="15" hidden="false" customHeight="false" outlineLevel="0" collapsed="false">
      <c r="A242" s="32" t="s">
        <v>612</v>
      </c>
      <c r="B242" s="33" t="s">
        <v>33</v>
      </c>
      <c r="C242" s="33" t="n">
        <v>4</v>
      </c>
      <c r="D242" s="33" t="n">
        <v>196</v>
      </c>
      <c r="E242" s="33" t="n">
        <v>90</v>
      </c>
      <c r="F242" s="33" t="s">
        <v>517</v>
      </c>
      <c r="G242" s="33"/>
      <c r="H242" s="34" t="s">
        <v>613</v>
      </c>
      <c r="I242" s="33" t="n">
        <v>41</v>
      </c>
      <c r="J242" s="33" t="n">
        <v>79</v>
      </c>
      <c r="K242" s="33" t="n">
        <v>24</v>
      </c>
      <c r="L242" s="32" t="s">
        <v>166</v>
      </c>
      <c r="M242" s="32" t="s">
        <v>195</v>
      </c>
      <c r="N242" s="34"/>
      <c r="O242" s="35" t="n">
        <v>1</v>
      </c>
      <c r="P242" s="26" t="s">
        <v>28</v>
      </c>
      <c r="Q242" s="27"/>
    </row>
    <row r="243" customFormat="false" ht="15" hidden="false" customHeight="false" outlineLevel="0" collapsed="false">
      <c r="A243" s="32" t="s">
        <v>614</v>
      </c>
      <c r="B243" s="33" t="s">
        <v>33</v>
      </c>
      <c r="C243" s="33" t="n">
        <v>5</v>
      </c>
      <c r="D243" s="33" t="n">
        <v>210</v>
      </c>
      <c r="E243" s="33" t="n">
        <v>90</v>
      </c>
      <c r="F243" s="33" t="s">
        <v>517</v>
      </c>
      <c r="G243" s="33"/>
      <c r="H243" s="34" t="s">
        <v>615</v>
      </c>
      <c r="I243" s="33" t="n">
        <v>36</v>
      </c>
      <c r="J243" s="33" t="n">
        <v>79</v>
      </c>
      <c r="K243" s="33" t="n">
        <v>23</v>
      </c>
      <c r="L243" s="32" t="s">
        <v>179</v>
      </c>
      <c r="M243" s="32" t="s">
        <v>616</v>
      </c>
      <c r="N243" s="34"/>
      <c r="O243" s="35" t="n">
        <v>1</v>
      </c>
      <c r="P243" s="26" t="s">
        <v>28</v>
      </c>
      <c r="Q243" s="27"/>
    </row>
    <row r="244" customFormat="false" ht="15" hidden="false" customHeight="false" outlineLevel="0" collapsed="false">
      <c r="A244" s="32" t="s">
        <v>617</v>
      </c>
      <c r="B244" s="33" t="s">
        <v>33</v>
      </c>
      <c r="C244" s="33" t="n">
        <v>5</v>
      </c>
      <c r="D244" s="33" t="n">
        <v>210</v>
      </c>
      <c r="E244" s="33" t="n">
        <v>90</v>
      </c>
      <c r="F244" s="33" t="s">
        <v>517</v>
      </c>
      <c r="G244" s="33"/>
      <c r="H244" s="34" t="s">
        <v>618</v>
      </c>
      <c r="I244" s="33" t="n">
        <v>34</v>
      </c>
      <c r="J244" s="33" t="n">
        <v>79</v>
      </c>
      <c r="K244" s="33" t="n">
        <v>23</v>
      </c>
      <c r="L244" s="32" t="s">
        <v>179</v>
      </c>
      <c r="M244" s="32" t="s">
        <v>546</v>
      </c>
      <c r="N244" s="34"/>
      <c r="O244" s="35" t="n">
        <v>1</v>
      </c>
      <c r="P244" s="26" t="s">
        <v>28</v>
      </c>
      <c r="Q244" s="27"/>
    </row>
    <row r="245" customFormat="false" ht="15" hidden="false" customHeight="false" outlineLevel="0" collapsed="false">
      <c r="A245" s="32" t="s">
        <v>619</v>
      </c>
      <c r="B245" s="33" t="s">
        <v>33</v>
      </c>
      <c r="C245" s="33" t="n">
        <v>5</v>
      </c>
      <c r="D245" s="33" t="n">
        <v>210</v>
      </c>
      <c r="E245" s="33" t="n">
        <v>90</v>
      </c>
      <c r="F245" s="33" t="s">
        <v>517</v>
      </c>
      <c r="G245" s="33"/>
      <c r="H245" s="34" t="s">
        <v>620</v>
      </c>
      <c r="I245" s="33" t="n">
        <v>34</v>
      </c>
      <c r="J245" s="33" t="n">
        <v>79</v>
      </c>
      <c r="K245" s="33" t="n">
        <v>23</v>
      </c>
      <c r="L245" s="32" t="s">
        <v>186</v>
      </c>
      <c r="M245" s="32" t="s">
        <v>621</v>
      </c>
      <c r="N245" s="34"/>
      <c r="O245" s="35" t="n">
        <v>1</v>
      </c>
      <c r="P245" s="26" t="s">
        <v>28</v>
      </c>
      <c r="Q245" s="27"/>
    </row>
    <row r="246" customFormat="false" ht="15" hidden="false" customHeight="false" outlineLevel="0" collapsed="false">
      <c r="A246" s="32" t="s">
        <v>622</v>
      </c>
      <c r="B246" s="33" t="s">
        <v>33</v>
      </c>
      <c r="C246" s="33" t="n">
        <v>5</v>
      </c>
      <c r="D246" s="33" t="n">
        <v>210</v>
      </c>
      <c r="E246" s="33" t="n">
        <v>90</v>
      </c>
      <c r="F246" s="33" t="s">
        <v>517</v>
      </c>
      <c r="G246" s="33"/>
      <c r="H246" s="34" t="s">
        <v>623</v>
      </c>
      <c r="I246" s="33" t="n">
        <v>37</v>
      </c>
      <c r="J246" s="33" t="n">
        <v>81</v>
      </c>
      <c r="K246" s="33" t="n">
        <v>23</v>
      </c>
      <c r="L246" s="32" t="s">
        <v>166</v>
      </c>
      <c r="M246" s="32" t="s">
        <v>278</v>
      </c>
      <c r="N246" s="34" t="s">
        <v>526</v>
      </c>
      <c r="O246" s="35" t="n">
        <v>1</v>
      </c>
      <c r="P246" s="26" t="s">
        <v>28</v>
      </c>
      <c r="Q246" s="27"/>
    </row>
    <row r="247" customFormat="false" ht="15" hidden="false" customHeight="false" outlineLevel="0" collapsed="false">
      <c r="A247" s="32" t="s">
        <v>624</v>
      </c>
      <c r="B247" s="33" t="s">
        <v>33</v>
      </c>
      <c r="C247" s="33" t="n">
        <v>5</v>
      </c>
      <c r="D247" s="33" t="n">
        <v>210</v>
      </c>
      <c r="E247" s="33" t="n">
        <v>90</v>
      </c>
      <c r="F247" s="33" t="s">
        <v>517</v>
      </c>
      <c r="G247" s="33"/>
      <c r="H247" s="34" t="s">
        <v>625</v>
      </c>
      <c r="I247" s="33" t="n">
        <v>38</v>
      </c>
      <c r="J247" s="33" t="n">
        <v>82</v>
      </c>
      <c r="K247" s="33" t="n">
        <v>23</v>
      </c>
      <c r="L247" s="32" t="s">
        <v>152</v>
      </c>
      <c r="M247" s="32" t="s">
        <v>393</v>
      </c>
      <c r="N247" s="34" t="s">
        <v>526</v>
      </c>
      <c r="O247" s="35" t="n">
        <v>1</v>
      </c>
      <c r="P247" s="26" t="s">
        <v>28</v>
      </c>
      <c r="Q247" s="27"/>
    </row>
    <row r="248" customFormat="false" ht="15" hidden="false" customHeight="false" outlineLevel="0" collapsed="false">
      <c r="A248" s="32" t="s">
        <v>626</v>
      </c>
      <c r="B248" s="33" t="s">
        <v>33</v>
      </c>
      <c r="C248" s="33" t="n">
        <v>5</v>
      </c>
      <c r="D248" s="33" t="n">
        <v>210</v>
      </c>
      <c r="E248" s="33" t="n">
        <v>90</v>
      </c>
      <c r="F248" s="33" t="s">
        <v>517</v>
      </c>
      <c r="G248" s="33"/>
      <c r="H248" s="34" t="s">
        <v>627</v>
      </c>
      <c r="I248" s="33" t="n">
        <v>38</v>
      </c>
      <c r="J248" s="33" t="n">
        <v>82</v>
      </c>
      <c r="K248" s="33" t="n">
        <v>23</v>
      </c>
      <c r="L248" s="32" t="s">
        <v>186</v>
      </c>
      <c r="M248" s="32" t="s">
        <v>604</v>
      </c>
      <c r="N248" s="34" t="s">
        <v>526</v>
      </c>
      <c r="O248" s="35" t="n">
        <v>1</v>
      </c>
      <c r="P248" s="26" t="s">
        <v>28</v>
      </c>
      <c r="Q248" s="27"/>
    </row>
    <row r="249" customFormat="false" ht="15" hidden="false" customHeight="false" outlineLevel="0" collapsed="false">
      <c r="A249" s="32" t="s">
        <v>628</v>
      </c>
      <c r="B249" s="33" t="s">
        <v>33</v>
      </c>
      <c r="C249" s="33" t="n">
        <v>5</v>
      </c>
      <c r="D249" s="33" t="n">
        <v>210</v>
      </c>
      <c r="E249" s="33" t="n">
        <v>90</v>
      </c>
      <c r="F249" s="33" t="s">
        <v>517</v>
      </c>
      <c r="G249" s="33"/>
      <c r="H249" s="34" t="s">
        <v>629</v>
      </c>
      <c r="I249" s="33" t="n">
        <v>38</v>
      </c>
      <c r="J249" s="33" t="n">
        <v>85</v>
      </c>
      <c r="K249" s="33" t="n">
        <v>24</v>
      </c>
      <c r="L249" s="32" t="s">
        <v>159</v>
      </c>
      <c r="M249" s="32" t="s">
        <v>630</v>
      </c>
      <c r="N249" s="34"/>
      <c r="O249" s="35" t="n">
        <v>1</v>
      </c>
      <c r="P249" s="26" t="s">
        <v>28</v>
      </c>
      <c r="Q249" s="27"/>
    </row>
    <row r="250" customFormat="false" ht="15" hidden="false" customHeight="false" outlineLevel="0" collapsed="false">
      <c r="A250" s="32" t="s">
        <v>631</v>
      </c>
      <c r="B250" s="33" t="s">
        <v>33</v>
      </c>
      <c r="C250" s="33" t="n">
        <v>5</v>
      </c>
      <c r="D250" s="33" t="n">
        <v>210</v>
      </c>
      <c r="E250" s="33" t="n">
        <v>90</v>
      </c>
      <c r="F250" s="33" t="s">
        <v>517</v>
      </c>
      <c r="G250" s="33"/>
      <c r="H250" s="34" t="s">
        <v>632</v>
      </c>
      <c r="I250" s="33" t="n">
        <v>40</v>
      </c>
      <c r="J250" s="33" t="n">
        <v>86</v>
      </c>
      <c r="K250" s="33" t="n">
        <v>25</v>
      </c>
      <c r="L250" s="32" t="s">
        <v>166</v>
      </c>
      <c r="M250" s="32" t="s">
        <v>278</v>
      </c>
      <c r="N250" s="34"/>
      <c r="O250" s="35" t="n">
        <v>1</v>
      </c>
      <c r="P250" s="26" t="s">
        <v>28</v>
      </c>
      <c r="Q250" s="27"/>
    </row>
    <row r="251" customFormat="false" ht="15" hidden="false" customHeight="false" outlineLevel="0" collapsed="false">
      <c r="A251" s="32" t="s">
        <v>633</v>
      </c>
      <c r="B251" s="33" t="s">
        <v>33</v>
      </c>
      <c r="C251" s="33" t="n">
        <v>5</v>
      </c>
      <c r="D251" s="33" t="n">
        <v>210</v>
      </c>
      <c r="E251" s="33" t="n">
        <v>90</v>
      </c>
      <c r="F251" s="33" t="s">
        <v>517</v>
      </c>
      <c r="G251" s="33"/>
      <c r="H251" s="34" t="s">
        <v>634</v>
      </c>
      <c r="I251" s="33" t="n">
        <v>39</v>
      </c>
      <c r="J251" s="33" t="n">
        <v>91</v>
      </c>
      <c r="K251" s="33" t="n">
        <v>26</v>
      </c>
      <c r="L251" s="32" t="s">
        <v>152</v>
      </c>
      <c r="M251" s="32" t="s">
        <v>190</v>
      </c>
      <c r="N251" s="34"/>
      <c r="O251" s="35" t="n">
        <v>1</v>
      </c>
      <c r="P251" s="26" t="s">
        <v>28</v>
      </c>
      <c r="Q251" s="27"/>
    </row>
    <row r="252" customFormat="false" ht="15" hidden="false" customHeight="false" outlineLevel="0" collapsed="false">
      <c r="A252" s="32" t="s">
        <v>635</v>
      </c>
      <c r="B252" s="33" t="s">
        <v>33</v>
      </c>
      <c r="C252" s="33" t="n">
        <v>5</v>
      </c>
      <c r="D252" s="33" t="n">
        <v>210</v>
      </c>
      <c r="E252" s="33" t="n">
        <v>90</v>
      </c>
      <c r="F252" s="33" t="s">
        <v>517</v>
      </c>
      <c r="G252" s="33"/>
      <c r="H252" s="34" t="s">
        <v>636</v>
      </c>
      <c r="I252" s="33" t="n">
        <v>40</v>
      </c>
      <c r="J252" s="33" t="n">
        <v>93</v>
      </c>
      <c r="K252" s="33" t="n">
        <v>27</v>
      </c>
      <c r="L252" s="32" t="s">
        <v>179</v>
      </c>
      <c r="M252" s="32" t="s">
        <v>616</v>
      </c>
      <c r="N252" s="34"/>
      <c r="O252" s="35" t="n">
        <v>1</v>
      </c>
      <c r="P252" s="26" t="s">
        <v>28</v>
      </c>
      <c r="Q252" s="27"/>
    </row>
    <row r="253" customFormat="false" ht="15" hidden="false" customHeight="false" outlineLevel="0" collapsed="false">
      <c r="A253" s="36" t="s">
        <v>637</v>
      </c>
      <c r="B253" s="37" t="s">
        <v>34</v>
      </c>
      <c r="C253" s="37" t="n">
        <v>1</v>
      </c>
      <c r="D253" s="37" t="n">
        <v>225</v>
      </c>
      <c r="E253" s="37" t="n">
        <v>92</v>
      </c>
      <c r="F253" s="37" t="s">
        <v>638</v>
      </c>
      <c r="G253" s="37"/>
      <c r="H253" s="38" t="s">
        <v>639</v>
      </c>
      <c r="I253" s="37" t="n">
        <v>38</v>
      </c>
      <c r="J253" s="37" t="n">
        <v>78</v>
      </c>
      <c r="K253" s="37" t="n">
        <v>21</v>
      </c>
      <c r="L253" s="36" t="s">
        <v>152</v>
      </c>
      <c r="M253" s="36" t="s">
        <v>396</v>
      </c>
      <c r="N253" s="38"/>
      <c r="O253" s="39" t="n">
        <v>1</v>
      </c>
      <c r="P253" s="26" t="s">
        <v>28</v>
      </c>
      <c r="Q253" s="27"/>
    </row>
    <row r="254" customFormat="false" ht="15" hidden="false" customHeight="false" outlineLevel="0" collapsed="false">
      <c r="A254" s="36" t="s">
        <v>640</v>
      </c>
      <c r="B254" s="37" t="s">
        <v>34</v>
      </c>
      <c r="C254" s="37" t="n">
        <v>1</v>
      </c>
      <c r="D254" s="37" t="n">
        <v>225</v>
      </c>
      <c r="E254" s="37" t="n">
        <v>92</v>
      </c>
      <c r="F254" s="37" t="s">
        <v>638</v>
      </c>
      <c r="G254" s="37"/>
      <c r="H254" s="38" t="s">
        <v>641</v>
      </c>
      <c r="I254" s="37" t="n">
        <v>38</v>
      </c>
      <c r="J254" s="37" t="n">
        <v>84</v>
      </c>
      <c r="K254" s="37" t="n">
        <v>22</v>
      </c>
      <c r="L254" s="36" t="s">
        <v>152</v>
      </c>
      <c r="M254" s="36" t="s">
        <v>642</v>
      </c>
      <c r="N254" s="38"/>
      <c r="O254" s="39" t="n">
        <v>1</v>
      </c>
      <c r="P254" s="26" t="s">
        <v>28</v>
      </c>
      <c r="Q254" s="27"/>
    </row>
    <row r="255" customFormat="false" ht="15" hidden="false" customHeight="false" outlineLevel="0" collapsed="false">
      <c r="A255" s="36" t="s">
        <v>643</v>
      </c>
      <c r="B255" s="37" t="s">
        <v>34</v>
      </c>
      <c r="C255" s="37" t="n">
        <v>1</v>
      </c>
      <c r="D255" s="37" t="n">
        <v>225</v>
      </c>
      <c r="E255" s="37" t="n">
        <v>92</v>
      </c>
      <c r="F255" s="37" t="s">
        <v>638</v>
      </c>
      <c r="G255" s="37"/>
      <c r="H255" s="38" t="s">
        <v>644</v>
      </c>
      <c r="I255" s="37" t="n">
        <v>41</v>
      </c>
      <c r="J255" s="37" t="n">
        <v>90</v>
      </c>
      <c r="K255" s="37" t="n">
        <v>24</v>
      </c>
      <c r="L255" s="36" t="s">
        <v>159</v>
      </c>
      <c r="M255" s="36" t="s">
        <v>176</v>
      </c>
      <c r="N255" s="38" t="s">
        <v>526</v>
      </c>
      <c r="O255" s="39" t="n">
        <v>1</v>
      </c>
      <c r="P255" s="26" t="s">
        <v>28</v>
      </c>
      <c r="Q255" s="27"/>
    </row>
    <row r="256" customFormat="false" ht="15" hidden="false" customHeight="false" outlineLevel="0" collapsed="false">
      <c r="A256" s="36" t="s">
        <v>645</v>
      </c>
      <c r="B256" s="37" t="s">
        <v>34</v>
      </c>
      <c r="C256" s="37" t="n">
        <v>1</v>
      </c>
      <c r="D256" s="37" t="n">
        <v>225</v>
      </c>
      <c r="E256" s="37" t="n">
        <v>92</v>
      </c>
      <c r="F256" s="37" t="s">
        <v>638</v>
      </c>
      <c r="G256" s="37"/>
      <c r="H256" s="38" t="s">
        <v>646</v>
      </c>
      <c r="I256" s="37" t="n">
        <v>40</v>
      </c>
      <c r="J256" s="37" t="n">
        <v>90</v>
      </c>
      <c r="K256" s="37" t="n">
        <v>24</v>
      </c>
      <c r="L256" s="36" t="s">
        <v>152</v>
      </c>
      <c r="M256" s="36" t="s">
        <v>163</v>
      </c>
      <c r="N256" s="38" t="s">
        <v>526</v>
      </c>
      <c r="O256" s="39" t="n">
        <v>1</v>
      </c>
      <c r="P256" s="26" t="s">
        <v>28</v>
      </c>
      <c r="Q256" s="27"/>
    </row>
    <row r="257" customFormat="false" ht="15" hidden="false" customHeight="false" outlineLevel="0" collapsed="false">
      <c r="A257" s="36" t="s">
        <v>647</v>
      </c>
      <c r="B257" s="37" t="s">
        <v>34</v>
      </c>
      <c r="C257" s="37" t="n">
        <v>1</v>
      </c>
      <c r="D257" s="37" t="n">
        <v>225</v>
      </c>
      <c r="E257" s="37" t="n">
        <v>92</v>
      </c>
      <c r="F257" s="37" t="s">
        <v>638</v>
      </c>
      <c r="G257" s="37"/>
      <c r="H257" s="38" t="s">
        <v>648</v>
      </c>
      <c r="I257" s="37" t="n">
        <v>43</v>
      </c>
      <c r="J257" s="37" t="n">
        <v>91</v>
      </c>
      <c r="K257" s="37" t="n">
        <v>24</v>
      </c>
      <c r="L257" s="36" t="s">
        <v>166</v>
      </c>
      <c r="M257" s="36" t="s">
        <v>281</v>
      </c>
      <c r="N257" s="38" t="s">
        <v>526</v>
      </c>
      <c r="O257" s="39" t="n">
        <v>1</v>
      </c>
      <c r="P257" s="26" t="s">
        <v>28</v>
      </c>
      <c r="Q257" s="27"/>
    </row>
    <row r="258" customFormat="false" ht="15" hidden="false" customHeight="false" outlineLevel="0" collapsed="false">
      <c r="A258" s="36" t="s">
        <v>649</v>
      </c>
      <c r="B258" s="37" t="s">
        <v>34</v>
      </c>
      <c r="C258" s="37" t="n">
        <v>1</v>
      </c>
      <c r="D258" s="37" t="n">
        <v>225</v>
      </c>
      <c r="E258" s="37" t="n">
        <v>92</v>
      </c>
      <c r="F258" s="37" t="s">
        <v>638</v>
      </c>
      <c r="G258" s="37"/>
      <c r="H258" s="38" t="s">
        <v>650</v>
      </c>
      <c r="I258" s="37" t="n">
        <v>42</v>
      </c>
      <c r="J258" s="37" t="n">
        <v>92</v>
      </c>
      <c r="K258" s="37" t="n">
        <v>25</v>
      </c>
      <c r="L258" s="36" t="s">
        <v>152</v>
      </c>
      <c r="M258" s="36" t="s">
        <v>260</v>
      </c>
      <c r="N258" s="38" t="s">
        <v>526</v>
      </c>
      <c r="O258" s="39" t="n">
        <v>1</v>
      </c>
      <c r="P258" s="26" t="s">
        <v>28</v>
      </c>
      <c r="Q258" s="27"/>
    </row>
    <row r="259" customFormat="false" ht="15" hidden="false" customHeight="false" outlineLevel="0" collapsed="false">
      <c r="A259" s="36" t="s">
        <v>651</v>
      </c>
      <c r="B259" s="37" t="s">
        <v>34</v>
      </c>
      <c r="C259" s="37" t="n">
        <v>1</v>
      </c>
      <c r="D259" s="37" t="n">
        <v>225</v>
      </c>
      <c r="E259" s="37" t="n">
        <v>92</v>
      </c>
      <c r="F259" s="37" t="s">
        <v>638</v>
      </c>
      <c r="G259" s="37"/>
      <c r="H259" s="38" t="s">
        <v>652</v>
      </c>
      <c r="I259" s="37" t="n">
        <v>44</v>
      </c>
      <c r="J259" s="37" t="n">
        <v>92</v>
      </c>
      <c r="K259" s="37" t="n">
        <v>25</v>
      </c>
      <c r="L259" s="36" t="s">
        <v>152</v>
      </c>
      <c r="M259" s="36" t="s">
        <v>653</v>
      </c>
      <c r="N259" s="38"/>
      <c r="O259" s="39" t="n">
        <v>1</v>
      </c>
      <c r="P259" s="26" t="s">
        <v>28</v>
      </c>
      <c r="Q259" s="27"/>
    </row>
    <row r="260" customFormat="false" ht="15" hidden="false" customHeight="false" outlineLevel="0" collapsed="false">
      <c r="A260" s="36" t="s">
        <v>654</v>
      </c>
      <c r="B260" s="37" t="s">
        <v>34</v>
      </c>
      <c r="C260" s="37" t="n">
        <v>1</v>
      </c>
      <c r="D260" s="37" t="n">
        <v>225</v>
      </c>
      <c r="E260" s="37" t="n">
        <v>92</v>
      </c>
      <c r="F260" s="37" t="s">
        <v>638</v>
      </c>
      <c r="G260" s="37"/>
      <c r="H260" s="38" t="s">
        <v>655</v>
      </c>
      <c r="I260" s="37" t="n">
        <v>45</v>
      </c>
      <c r="J260" s="37" t="n">
        <v>94</v>
      </c>
      <c r="K260" s="37" t="n">
        <v>25</v>
      </c>
      <c r="L260" s="36" t="s">
        <v>186</v>
      </c>
      <c r="M260" s="36" t="s">
        <v>656</v>
      </c>
      <c r="N260" s="38" t="s">
        <v>526</v>
      </c>
      <c r="O260" s="39" t="n">
        <v>1</v>
      </c>
      <c r="P260" s="26" t="s">
        <v>28</v>
      </c>
      <c r="Q260" s="27"/>
    </row>
    <row r="261" customFormat="false" ht="15" hidden="false" customHeight="false" outlineLevel="0" collapsed="false">
      <c r="A261" s="36" t="s">
        <v>657</v>
      </c>
      <c r="B261" s="37" t="s">
        <v>34</v>
      </c>
      <c r="C261" s="37" t="n">
        <v>1</v>
      </c>
      <c r="D261" s="37" t="n">
        <v>225</v>
      </c>
      <c r="E261" s="37" t="n">
        <v>92</v>
      </c>
      <c r="F261" s="37" t="s">
        <v>638</v>
      </c>
      <c r="G261" s="37"/>
      <c r="H261" s="38" t="s">
        <v>658</v>
      </c>
      <c r="I261" s="37" t="n">
        <v>43</v>
      </c>
      <c r="J261" s="37" t="n">
        <v>95</v>
      </c>
      <c r="K261" s="37" t="n">
        <v>25</v>
      </c>
      <c r="L261" s="36" t="s">
        <v>166</v>
      </c>
      <c r="M261" s="36" t="s">
        <v>273</v>
      </c>
      <c r="N261" s="38" t="s">
        <v>526</v>
      </c>
      <c r="O261" s="39" t="n">
        <v>1</v>
      </c>
      <c r="P261" s="26" t="s">
        <v>28</v>
      </c>
      <c r="Q261" s="27"/>
    </row>
    <row r="262" customFormat="false" ht="15" hidden="false" customHeight="false" outlineLevel="0" collapsed="false">
      <c r="A262" s="36" t="s">
        <v>659</v>
      </c>
      <c r="B262" s="37" t="s">
        <v>34</v>
      </c>
      <c r="C262" s="37" t="n">
        <v>1</v>
      </c>
      <c r="D262" s="37" t="n">
        <v>225</v>
      </c>
      <c r="E262" s="37" t="n">
        <v>92</v>
      </c>
      <c r="F262" s="37" t="s">
        <v>638</v>
      </c>
      <c r="G262" s="37"/>
      <c r="H262" s="38" t="s">
        <v>660</v>
      </c>
      <c r="I262" s="37" t="n">
        <v>45</v>
      </c>
      <c r="J262" s="37" t="n">
        <v>95</v>
      </c>
      <c r="K262" s="37" t="n">
        <v>25</v>
      </c>
      <c r="L262" s="36" t="s">
        <v>179</v>
      </c>
      <c r="M262" s="36" t="s">
        <v>207</v>
      </c>
      <c r="N262" s="38" t="s">
        <v>526</v>
      </c>
      <c r="O262" s="39" t="n">
        <v>1</v>
      </c>
      <c r="P262" s="26" t="s">
        <v>28</v>
      </c>
      <c r="Q262" s="27"/>
    </row>
    <row r="263" customFormat="false" ht="15" hidden="false" customHeight="false" outlineLevel="0" collapsed="false">
      <c r="A263" s="36" t="s">
        <v>661</v>
      </c>
      <c r="B263" s="37" t="s">
        <v>34</v>
      </c>
      <c r="C263" s="37" t="n">
        <v>2</v>
      </c>
      <c r="D263" s="37" t="n">
        <v>239</v>
      </c>
      <c r="E263" s="37" t="n">
        <v>92</v>
      </c>
      <c r="F263" s="37" t="s">
        <v>638</v>
      </c>
      <c r="G263" s="37"/>
      <c r="H263" s="38" t="s">
        <v>662</v>
      </c>
      <c r="I263" s="37" t="n">
        <v>47</v>
      </c>
      <c r="J263" s="37" t="n">
        <v>96</v>
      </c>
      <c r="K263" s="37" t="n">
        <v>24</v>
      </c>
      <c r="L263" s="36" t="s">
        <v>159</v>
      </c>
      <c r="M263" s="36" t="s">
        <v>302</v>
      </c>
      <c r="N263" s="38" t="s">
        <v>526</v>
      </c>
      <c r="O263" s="39" t="n">
        <v>1</v>
      </c>
      <c r="P263" s="26" t="s">
        <v>28</v>
      </c>
      <c r="Q263" s="27"/>
    </row>
    <row r="264" customFormat="false" ht="15" hidden="false" customHeight="false" outlineLevel="0" collapsed="false">
      <c r="A264" s="36" t="s">
        <v>663</v>
      </c>
      <c r="B264" s="37" t="s">
        <v>34</v>
      </c>
      <c r="C264" s="37" t="n">
        <v>2</v>
      </c>
      <c r="D264" s="37" t="n">
        <v>239</v>
      </c>
      <c r="E264" s="37" t="n">
        <v>92</v>
      </c>
      <c r="F264" s="37" t="s">
        <v>638</v>
      </c>
      <c r="G264" s="37"/>
      <c r="H264" s="38" t="s">
        <v>664</v>
      </c>
      <c r="I264" s="37" t="n">
        <v>46</v>
      </c>
      <c r="J264" s="37" t="n">
        <v>97</v>
      </c>
      <c r="K264" s="37" t="n">
        <v>24</v>
      </c>
      <c r="L264" s="36" t="s">
        <v>186</v>
      </c>
      <c r="M264" s="36" t="s">
        <v>656</v>
      </c>
      <c r="N264" s="38" t="s">
        <v>526</v>
      </c>
      <c r="O264" s="39" t="n">
        <v>1</v>
      </c>
      <c r="P264" s="26" t="s">
        <v>28</v>
      </c>
      <c r="Q264" s="27"/>
    </row>
    <row r="265" customFormat="false" ht="15" hidden="false" customHeight="false" outlineLevel="0" collapsed="false">
      <c r="A265" s="36" t="s">
        <v>665</v>
      </c>
      <c r="B265" s="37" t="s">
        <v>34</v>
      </c>
      <c r="C265" s="37" t="n">
        <v>2</v>
      </c>
      <c r="D265" s="37" t="n">
        <v>239</v>
      </c>
      <c r="E265" s="37" t="n">
        <v>92</v>
      </c>
      <c r="F265" s="37" t="s">
        <v>638</v>
      </c>
      <c r="G265" s="37"/>
      <c r="H265" s="38" t="s">
        <v>666</v>
      </c>
      <c r="I265" s="37" t="n">
        <v>46</v>
      </c>
      <c r="J265" s="37" t="n">
        <v>98</v>
      </c>
      <c r="K265" s="37" t="n">
        <v>25</v>
      </c>
      <c r="L265" s="36" t="s">
        <v>152</v>
      </c>
      <c r="M265" s="36" t="s">
        <v>163</v>
      </c>
      <c r="N265" s="38" t="s">
        <v>526</v>
      </c>
      <c r="O265" s="39" t="n">
        <v>1</v>
      </c>
      <c r="P265" s="26" t="s">
        <v>28</v>
      </c>
      <c r="Q265" s="27"/>
    </row>
    <row r="266" customFormat="false" ht="15" hidden="false" customHeight="false" outlineLevel="0" collapsed="false">
      <c r="A266" s="36" t="s">
        <v>667</v>
      </c>
      <c r="B266" s="37" t="s">
        <v>34</v>
      </c>
      <c r="C266" s="37" t="n">
        <v>2</v>
      </c>
      <c r="D266" s="37" t="n">
        <v>239</v>
      </c>
      <c r="E266" s="37" t="n">
        <v>92</v>
      </c>
      <c r="F266" s="37" t="s">
        <v>638</v>
      </c>
      <c r="G266" s="37"/>
      <c r="H266" s="38" t="s">
        <v>668</v>
      </c>
      <c r="I266" s="37" t="n">
        <v>44</v>
      </c>
      <c r="J266" s="37" t="n">
        <v>100</v>
      </c>
      <c r="K266" s="37" t="n">
        <v>25</v>
      </c>
      <c r="L266" s="36" t="s">
        <v>186</v>
      </c>
      <c r="M266" s="36" t="s">
        <v>495</v>
      </c>
      <c r="N266" s="38" t="s">
        <v>526</v>
      </c>
      <c r="O266" s="39" t="n">
        <v>1</v>
      </c>
      <c r="P266" s="26" t="s">
        <v>28</v>
      </c>
      <c r="Q266" s="27"/>
    </row>
    <row r="267" customFormat="false" ht="15" hidden="false" customHeight="false" outlineLevel="0" collapsed="false">
      <c r="A267" s="36" t="s">
        <v>669</v>
      </c>
      <c r="B267" s="37" t="s">
        <v>34</v>
      </c>
      <c r="C267" s="37" t="n">
        <v>2</v>
      </c>
      <c r="D267" s="37" t="n">
        <v>239</v>
      </c>
      <c r="E267" s="37" t="n">
        <v>92</v>
      </c>
      <c r="F267" s="37" t="s">
        <v>638</v>
      </c>
      <c r="G267" s="37"/>
      <c r="H267" s="38" t="s">
        <v>670</v>
      </c>
      <c r="I267" s="37" t="n">
        <v>47</v>
      </c>
      <c r="J267" s="37" t="n">
        <v>100</v>
      </c>
      <c r="K267" s="37" t="n">
        <v>25</v>
      </c>
      <c r="L267" s="36" t="s">
        <v>152</v>
      </c>
      <c r="M267" s="36" t="s">
        <v>153</v>
      </c>
      <c r="N267" s="38" t="s">
        <v>526</v>
      </c>
      <c r="O267" s="39" t="n">
        <v>1</v>
      </c>
      <c r="P267" s="26" t="s">
        <v>28</v>
      </c>
      <c r="Q267" s="27"/>
    </row>
    <row r="268" customFormat="false" ht="15" hidden="false" customHeight="false" outlineLevel="0" collapsed="false">
      <c r="A268" s="36" t="s">
        <v>671</v>
      </c>
      <c r="B268" s="37" t="s">
        <v>34</v>
      </c>
      <c r="C268" s="37" t="n">
        <v>2</v>
      </c>
      <c r="D268" s="37" t="n">
        <v>239</v>
      </c>
      <c r="E268" s="37" t="n">
        <v>92</v>
      </c>
      <c r="F268" s="37" t="s">
        <v>638</v>
      </c>
      <c r="G268" s="37"/>
      <c r="H268" s="38" t="s">
        <v>672</v>
      </c>
      <c r="I268" s="37" t="n">
        <v>53</v>
      </c>
      <c r="J268" s="37" t="n">
        <v>111</v>
      </c>
      <c r="K268" s="37" t="n">
        <v>28</v>
      </c>
      <c r="L268" s="36" t="s">
        <v>159</v>
      </c>
      <c r="M268" s="36" t="s">
        <v>176</v>
      </c>
      <c r="N268" s="38" t="s">
        <v>526</v>
      </c>
      <c r="O268" s="39" t="n">
        <v>1</v>
      </c>
      <c r="P268" s="26" t="s">
        <v>28</v>
      </c>
      <c r="Q268" s="27"/>
    </row>
    <row r="269" customFormat="false" ht="29.85" hidden="false" customHeight="false" outlineLevel="0" collapsed="false">
      <c r="A269" s="36" t="s">
        <v>673</v>
      </c>
      <c r="B269" s="37" t="s">
        <v>34</v>
      </c>
      <c r="C269" s="37" t="n">
        <v>2</v>
      </c>
      <c r="D269" s="37" t="n">
        <v>239</v>
      </c>
      <c r="E269" s="37" t="n">
        <v>92</v>
      </c>
      <c r="F269" s="37" t="s">
        <v>638</v>
      </c>
      <c r="G269" s="37"/>
      <c r="H269" s="38" t="s">
        <v>674</v>
      </c>
      <c r="I269" s="37" t="n">
        <v>53</v>
      </c>
      <c r="J269" s="37" t="n">
        <v>111</v>
      </c>
      <c r="K269" s="37" t="n">
        <v>28</v>
      </c>
      <c r="L269" s="36" t="s">
        <v>159</v>
      </c>
      <c r="M269" s="36" t="s">
        <v>675</v>
      </c>
      <c r="N269" s="38" t="s">
        <v>526</v>
      </c>
      <c r="O269" s="39" t="n">
        <v>1</v>
      </c>
      <c r="P269" s="26" t="s">
        <v>28</v>
      </c>
      <c r="Q269" s="27"/>
    </row>
    <row r="270" customFormat="false" ht="15" hidden="false" customHeight="false" outlineLevel="0" collapsed="false">
      <c r="A270" s="36" t="s">
        <v>676</v>
      </c>
      <c r="B270" s="37" t="s">
        <v>34</v>
      </c>
      <c r="C270" s="37" t="n">
        <v>2</v>
      </c>
      <c r="D270" s="37" t="n">
        <v>239</v>
      </c>
      <c r="E270" s="37" t="n">
        <v>92</v>
      </c>
      <c r="F270" s="37" t="s">
        <v>638</v>
      </c>
      <c r="G270" s="37"/>
      <c r="H270" s="38" t="s">
        <v>677</v>
      </c>
      <c r="I270" s="37" t="n">
        <v>49</v>
      </c>
      <c r="J270" s="37" t="n">
        <v>113</v>
      </c>
      <c r="K270" s="37" t="n">
        <v>28</v>
      </c>
      <c r="L270" s="36" t="s">
        <v>166</v>
      </c>
      <c r="M270" s="36" t="s">
        <v>273</v>
      </c>
      <c r="N270" s="38" t="s">
        <v>526</v>
      </c>
      <c r="O270" s="39" t="n">
        <v>1</v>
      </c>
      <c r="P270" s="26" t="s">
        <v>28</v>
      </c>
      <c r="Q270" s="27"/>
    </row>
    <row r="271" customFormat="false" ht="29.85" hidden="false" customHeight="false" outlineLevel="0" collapsed="false">
      <c r="A271" s="36" t="s">
        <v>678</v>
      </c>
      <c r="B271" s="37" t="s">
        <v>34</v>
      </c>
      <c r="C271" s="37" t="n">
        <v>2</v>
      </c>
      <c r="D271" s="37" t="n">
        <v>239</v>
      </c>
      <c r="E271" s="37" t="n">
        <v>92</v>
      </c>
      <c r="F271" s="37" t="s">
        <v>638</v>
      </c>
      <c r="G271" s="37"/>
      <c r="H271" s="38" t="s">
        <v>679</v>
      </c>
      <c r="I271" s="37" t="n">
        <v>55</v>
      </c>
      <c r="J271" s="37" t="n">
        <v>115</v>
      </c>
      <c r="K271" s="37" t="n">
        <v>29</v>
      </c>
      <c r="L271" s="36" t="s">
        <v>186</v>
      </c>
      <c r="M271" s="36" t="s">
        <v>680</v>
      </c>
      <c r="N271" s="38"/>
      <c r="O271" s="39" t="n">
        <v>1</v>
      </c>
      <c r="P271" s="26" t="s">
        <v>28</v>
      </c>
      <c r="Q271" s="27"/>
    </row>
    <row r="272" customFormat="false" ht="29.85" hidden="false" customHeight="false" outlineLevel="0" collapsed="false">
      <c r="A272" s="36" t="s">
        <v>681</v>
      </c>
      <c r="B272" s="37" t="s">
        <v>34</v>
      </c>
      <c r="C272" s="37" t="n">
        <v>2</v>
      </c>
      <c r="D272" s="37" t="n">
        <v>239</v>
      </c>
      <c r="E272" s="37" t="n">
        <v>92</v>
      </c>
      <c r="F272" s="37" t="s">
        <v>638</v>
      </c>
      <c r="G272" s="37"/>
      <c r="H272" s="38" t="s">
        <v>682</v>
      </c>
      <c r="I272" s="37" t="n">
        <v>52</v>
      </c>
      <c r="J272" s="37" t="n">
        <v>115</v>
      </c>
      <c r="K272" s="37" t="n">
        <v>29</v>
      </c>
      <c r="L272" s="36" t="s">
        <v>166</v>
      </c>
      <c r="M272" s="36" t="s">
        <v>284</v>
      </c>
      <c r="N272" s="38" t="s">
        <v>526</v>
      </c>
      <c r="O272" s="39" t="n">
        <v>1</v>
      </c>
      <c r="P272" s="26" t="s">
        <v>28</v>
      </c>
      <c r="Q272" s="27"/>
    </row>
    <row r="273" customFormat="false" ht="29.85" hidden="false" customHeight="false" outlineLevel="0" collapsed="false">
      <c r="A273" s="36" t="s">
        <v>683</v>
      </c>
      <c r="B273" s="37" t="s">
        <v>34</v>
      </c>
      <c r="C273" s="37" t="n">
        <v>3</v>
      </c>
      <c r="D273" s="37" t="n">
        <v>252</v>
      </c>
      <c r="E273" s="37" t="n">
        <v>92</v>
      </c>
      <c r="F273" s="37" t="s">
        <v>638</v>
      </c>
      <c r="G273" s="37"/>
      <c r="H273" s="38" t="s">
        <v>684</v>
      </c>
      <c r="I273" s="37" t="n">
        <v>53</v>
      </c>
      <c r="J273" s="37" t="n">
        <v>116</v>
      </c>
      <c r="K273" s="37" t="n">
        <v>28</v>
      </c>
      <c r="L273" s="36" t="s">
        <v>166</v>
      </c>
      <c r="M273" s="36" t="s">
        <v>353</v>
      </c>
      <c r="N273" s="38" t="s">
        <v>526</v>
      </c>
      <c r="O273" s="39" t="n">
        <v>1</v>
      </c>
      <c r="P273" s="26" t="s">
        <v>28</v>
      </c>
      <c r="Q273" s="27"/>
    </row>
    <row r="274" customFormat="false" ht="29.85" hidden="false" customHeight="false" outlineLevel="0" collapsed="false">
      <c r="A274" s="36" t="s">
        <v>685</v>
      </c>
      <c r="B274" s="37" t="s">
        <v>34</v>
      </c>
      <c r="C274" s="37" t="n">
        <v>3</v>
      </c>
      <c r="D274" s="37" t="n">
        <v>252</v>
      </c>
      <c r="E274" s="37" t="n">
        <v>92</v>
      </c>
      <c r="F274" s="37" t="s">
        <v>638</v>
      </c>
      <c r="G274" s="37"/>
      <c r="H274" s="38" t="s">
        <v>686</v>
      </c>
      <c r="I274" s="37" t="n">
        <v>57</v>
      </c>
      <c r="J274" s="37" t="n">
        <v>122</v>
      </c>
      <c r="K274" s="37" t="n">
        <v>29</v>
      </c>
      <c r="L274" s="36" t="s">
        <v>152</v>
      </c>
      <c r="M274" s="36" t="s">
        <v>260</v>
      </c>
      <c r="N274" s="38" t="s">
        <v>526</v>
      </c>
      <c r="O274" s="39" t="n">
        <v>1</v>
      </c>
      <c r="P274" s="26" t="s">
        <v>28</v>
      </c>
      <c r="Q274" s="27"/>
    </row>
    <row r="275" customFormat="false" ht="29.85" hidden="false" customHeight="false" outlineLevel="0" collapsed="false">
      <c r="A275" s="36" t="s">
        <v>687</v>
      </c>
      <c r="B275" s="37" t="s">
        <v>34</v>
      </c>
      <c r="C275" s="37" t="n">
        <v>3</v>
      </c>
      <c r="D275" s="37" t="n">
        <v>252</v>
      </c>
      <c r="E275" s="37" t="n">
        <v>92</v>
      </c>
      <c r="F275" s="37" t="s">
        <v>638</v>
      </c>
      <c r="G275" s="37"/>
      <c r="H275" s="38" t="s">
        <v>688</v>
      </c>
      <c r="I275" s="37" t="n">
        <v>62</v>
      </c>
      <c r="J275" s="37" t="n">
        <v>129</v>
      </c>
      <c r="K275" s="37" t="n">
        <v>31</v>
      </c>
      <c r="L275" s="36" t="s">
        <v>179</v>
      </c>
      <c r="M275" s="36" t="s">
        <v>207</v>
      </c>
      <c r="N275" s="38" t="s">
        <v>526</v>
      </c>
      <c r="O275" s="39" t="n">
        <v>1</v>
      </c>
      <c r="P275" s="26" t="s">
        <v>28</v>
      </c>
      <c r="Q275" s="27"/>
    </row>
    <row r="276" customFormat="false" ht="29.85" hidden="false" customHeight="false" outlineLevel="0" collapsed="false">
      <c r="A276" s="36" t="s">
        <v>689</v>
      </c>
      <c r="B276" s="37" t="s">
        <v>34</v>
      </c>
      <c r="C276" s="37" t="n">
        <v>3</v>
      </c>
      <c r="D276" s="37" t="n">
        <v>252</v>
      </c>
      <c r="E276" s="37" t="n">
        <v>92</v>
      </c>
      <c r="F276" s="37" t="s">
        <v>638</v>
      </c>
      <c r="G276" s="37"/>
      <c r="H276" s="38" t="s">
        <v>690</v>
      </c>
      <c r="I276" s="37" t="n">
        <v>60</v>
      </c>
      <c r="J276" s="37" t="n">
        <v>130</v>
      </c>
      <c r="K276" s="37" t="n">
        <v>31</v>
      </c>
      <c r="L276" s="36" t="s">
        <v>186</v>
      </c>
      <c r="M276" s="36" t="s">
        <v>691</v>
      </c>
      <c r="N276" s="38"/>
      <c r="O276" s="39" t="n">
        <v>1</v>
      </c>
      <c r="P276" s="26" t="s">
        <v>28</v>
      </c>
      <c r="Q276" s="27"/>
    </row>
    <row r="277" customFormat="false" ht="29.85" hidden="false" customHeight="false" outlineLevel="0" collapsed="false">
      <c r="A277" s="36" t="s">
        <v>692</v>
      </c>
      <c r="B277" s="37" t="s">
        <v>34</v>
      </c>
      <c r="C277" s="37" t="n">
        <v>3</v>
      </c>
      <c r="D277" s="37" t="n">
        <v>252</v>
      </c>
      <c r="E277" s="37" t="n">
        <v>92</v>
      </c>
      <c r="F277" s="37" t="s">
        <v>638</v>
      </c>
      <c r="G277" s="37"/>
      <c r="H277" s="38" t="s">
        <v>693</v>
      </c>
      <c r="I277" s="37" t="n">
        <v>58</v>
      </c>
      <c r="J277" s="37" t="n">
        <v>132</v>
      </c>
      <c r="K277" s="37" t="n">
        <v>31</v>
      </c>
      <c r="L277" s="36" t="s">
        <v>186</v>
      </c>
      <c r="M277" s="36" t="s">
        <v>187</v>
      </c>
      <c r="N277" s="38" t="s">
        <v>526</v>
      </c>
      <c r="O277" s="39" t="n">
        <v>1</v>
      </c>
      <c r="P277" s="26" t="s">
        <v>28</v>
      </c>
      <c r="Q277" s="27"/>
    </row>
    <row r="278" customFormat="false" ht="29.85" hidden="false" customHeight="false" outlineLevel="0" collapsed="false">
      <c r="A278" s="36" t="s">
        <v>694</v>
      </c>
      <c r="B278" s="37" t="s">
        <v>34</v>
      </c>
      <c r="C278" s="37" t="n">
        <v>3</v>
      </c>
      <c r="D278" s="37" t="n">
        <v>252</v>
      </c>
      <c r="E278" s="37" t="n">
        <v>92</v>
      </c>
      <c r="F278" s="37" t="s">
        <v>638</v>
      </c>
      <c r="G278" s="37"/>
      <c r="H278" s="38" t="s">
        <v>695</v>
      </c>
      <c r="I278" s="37" t="n">
        <v>61</v>
      </c>
      <c r="J278" s="37" t="n">
        <v>132</v>
      </c>
      <c r="K278" s="37" t="n">
        <v>31</v>
      </c>
      <c r="L278" s="36" t="s">
        <v>179</v>
      </c>
      <c r="M278" s="36" t="s">
        <v>324</v>
      </c>
      <c r="N278" s="38"/>
      <c r="O278" s="39" t="n">
        <v>1</v>
      </c>
      <c r="P278" s="26" t="s">
        <v>28</v>
      </c>
      <c r="Q278" s="27"/>
    </row>
    <row r="279" customFormat="false" ht="29.85" hidden="false" customHeight="false" outlineLevel="0" collapsed="false">
      <c r="A279" s="36" t="s">
        <v>696</v>
      </c>
      <c r="B279" s="37" t="s">
        <v>34</v>
      </c>
      <c r="C279" s="37" t="n">
        <v>3</v>
      </c>
      <c r="D279" s="37" t="n">
        <v>252</v>
      </c>
      <c r="E279" s="37" t="n">
        <v>92</v>
      </c>
      <c r="F279" s="37" t="s">
        <v>638</v>
      </c>
      <c r="G279" s="37"/>
      <c r="H279" s="38" t="s">
        <v>697</v>
      </c>
      <c r="I279" s="37" t="n">
        <v>65</v>
      </c>
      <c r="J279" s="37" t="n">
        <v>136</v>
      </c>
      <c r="K279" s="37" t="n">
        <v>32</v>
      </c>
      <c r="L279" s="36" t="s">
        <v>159</v>
      </c>
      <c r="M279" s="36" t="s">
        <v>698</v>
      </c>
      <c r="N279" s="38"/>
      <c r="O279" s="39" t="n">
        <v>1</v>
      </c>
      <c r="P279" s="26" t="s">
        <v>28</v>
      </c>
      <c r="Q279" s="27"/>
    </row>
    <row r="280" customFormat="false" ht="29.85" hidden="false" customHeight="false" outlineLevel="0" collapsed="false">
      <c r="A280" s="36" t="s">
        <v>699</v>
      </c>
      <c r="B280" s="37" t="s">
        <v>34</v>
      </c>
      <c r="C280" s="37" t="n">
        <v>3</v>
      </c>
      <c r="D280" s="37" t="n">
        <v>252</v>
      </c>
      <c r="E280" s="37" t="n">
        <v>92</v>
      </c>
      <c r="F280" s="37" t="s">
        <v>638</v>
      </c>
      <c r="G280" s="37"/>
      <c r="H280" s="38" t="s">
        <v>700</v>
      </c>
      <c r="I280" s="37" t="n">
        <v>63</v>
      </c>
      <c r="J280" s="37" t="n">
        <v>136</v>
      </c>
      <c r="K280" s="37" t="n">
        <v>32</v>
      </c>
      <c r="L280" s="36" t="s">
        <v>186</v>
      </c>
      <c r="M280" s="36" t="s">
        <v>701</v>
      </c>
      <c r="N280" s="38"/>
      <c r="O280" s="39" t="n">
        <v>1</v>
      </c>
      <c r="P280" s="26" t="s">
        <v>28</v>
      </c>
      <c r="Q280" s="27"/>
    </row>
    <row r="281" customFormat="false" ht="29.85" hidden="false" customHeight="false" outlineLevel="0" collapsed="false">
      <c r="A281" s="36" t="s">
        <v>702</v>
      </c>
      <c r="B281" s="37" t="s">
        <v>34</v>
      </c>
      <c r="C281" s="37" t="n">
        <v>3</v>
      </c>
      <c r="D281" s="37" t="n">
        <v>252</v>
      </c>
      <c r="E281" s="37" t="n">
        <v>92</v>
      </c>
      <c r="F281" s="37" t="s">
        <v>638</v>
      </c>
      <c r="G281" s="37"/>
      <c r="H281" s="38" t="s">
        <v>703</v>
      </c>
      <c r="I281" s="37" t="n">
        <v>63</v>
      </c>
      <c r="J281" s="37" t="n">
        <v>139</v>
      </c>
      <c r="K281" s="37" t="n">
        <v>33</v>
      </c>
      <c r="L281" s="36" t="s">
        <v>166</v>
      </c>
      <c r="M281" s="36" t="s">
        <v>460</v>
      </c>
      <c r="N281" s="38" t="s">
        <v>526</v>
      </c>
      <c r="O281" s="39" t="n">
        <v>1</v>
      </c>
      <c r="P281" s="26" t="s">
        <v>28</v>
      </c>
      <c r="Q281" s="27"/>
    </row>
    <row r="282" customFormat="false" ht="29.85" hidden="false" customHeight="false" outlineLevel="0" collapsed="false">
      <c r="A282" s="36" t="s">
        <v>704</v>
      </c>
      <c r="B282" s="37" t="s">
        <v>34</v>
      </c>
      <c r="C282" s="37" t="n">
        <v>3</v>
      </c>
      <c r="D282" s="37" t="n">
        <v>252</v>
      </c>
      <c r="E282" s="37" t="n">
        <v>92</v>
      </c>
      <c r="F282" s="37" t="s">
        <v>638</v>
      </c>
      <c r="G282" s="37"/>
      <c r="H282" s="38" t="s">
        <v>705</v>
      </c>
      <c r="I282" s="37" t="n">
        <v>69</v>
      </c>
      <c r="J282" s="37" t="n">
        <v>139</v>
      </c>
      <c r="K282" s="37" t="n">
        <v>33</v>
      </c>
      <c r="L282" s="36" t="s">
        <v>159</v>
      </c>
      <c r="M282" s="36" t="s">
        <v>238</v>
      </c>
      <c r="N282" s="38" t="s">
        <v>526</v>
      </c>
      <c r="O282" s="39" t="n">
        <v>1</v>
      </c>
      <c r="P282" s="26" t="s">
        <v>28</v>
      </c>
      <c r="Q282" s="27"/>
    </row>
    <row r="283" customFormat="false" ht="29.85" hidden="false" customHeight="false" outlineLevel="0" collapsed="false">
      <c r="A283" s="36" t="s">
        <v>706</v>
      </c>
      <c r="B283" s="37" t="s">
        <v>34</v>
      </c>
      <c r="C283" s="37" t="n">
        <v>4</v>
      </c>
      <c r="D283" s="37" t="n">
        <v>266</v>
      </c>
      <c r="E283" s="37" t="n">
        <v>92</v>
      </c>
      <c r="F283" s="37" t="s">
        <v>638</v>
      </c>
      <c r="G283" s="37"/>
      <c r="H283" s="38" t="s">
        <v>707</v>
      </c>
      <c r="I283" s="37" t="n">
        <v>67</v>
      </c>
      <c r="J283" s="37" t="n">
        <v>143</v>
      </c>
      <c r="K283" s="37" t="n">
        <v>32</v>
      </c>
      <c r="L283" s="36" t="s">
        <v>166</v>
      </c>
      <c r="M283" s="36" t="s">
        <v>167</v>
      </c>
      <c r="N283" s="38"/>
      <c r="O283" s="39" t="n">
        <v>1</v>
      </c>
      <c r="P283" s="26" t="s">
        <v>28</v>
      </c>
      <c r="Q283" s="27"/>
    </row>
    <row r="284" customFormat="false" ht="29.85" hidden="false" customHeight="false" outlineLevel="0" collapsed="false">
      <c r="A284" s="36" t="s">
        <v>708</v>
      </c>
      <c r="B284" s="37" t="s">
        <v>34</v>
      </c>
      <c r="C284" s="37" t="n">
        <v>4</v>
      </c>
      <c r="D284" s="37" t="n">
        <v>266</v>
      </c>
      <c r="E284" s="37" t="n">
        <v>92</v>
      </c>
      <c r="F284" s="37" t="s">
        <v>638</v>
      </c>
      <c r="G284" s="37"/>
      <c r="H284" s="38" t="s">
        <v>709</v>
      </c>
      <c r="I284" s="37" t="n">
        <v>64</v>
      </c>
      <c r="J284" s="37" t="n">
        <v>144</v>
      </c>
      <c r="K284" s="37" t="n">
        <v>32</v>
      </c>
      <c r="L284" s="36" t="s">
        <v>186</v>
      </c>
      <c r="M284" s="36" t="s">
        <v>710</v>
      </c>
      <c r="N284" s="38"/>
      <c r="O284" s="39" t="n">
        <v>1</v>
      </c>
      <c r="P284" s="26" t="s">
        <v>28</v>
      </c>
      <c r="Q284" s="27"/>
    </row>
    <row r="285" customFormat="false" ht="29.85" hidden="false" customHeight="false" outlineLevel="0" collapsed="false">
      <c r="A285" s="36" t="s">
        <v>711</v>
      </c>
      <c r="B285" s="37" t="s">
        <v>34</v>
      </c>
      <c r="C285" s="37" t="n">
        <v>4</v>
      </c>
      <c r="D285" s="37" t="n">
        <v>266</v>
      </c>
      <c r="E285" s="37" t="n">
        <v>92</v>
      </c>
      <c r="F285" s="37" t="s">
        <v>638</v>
      </c>
      <c r="G285" s="37"/>
      <c r="H285" s="38" t="s">
        <v>712</v>
      </c>
      <c r="I285" s="37" t="n">
        <v>66</v>
      </c>
      <c r="J285" s="37" t="n">
        <v>146</v>
      </c>
      <c r="K285" s="37" t="n">
        <v>33</v>
      </c>
      <c r="L285" s="36" t="s">
        <v>179</v>
      </c>
      <c r="M285" s="36" t="s">
        <v>405</v>
      </c>
      <c r="N285" s="38" t="s">
        <v>526</v>
      </c>
      <c r="O285" s="39" t="n">
        <v>1</v>
      </c>
      <c r="P285" s="26" t="s">
        <v>28</v>
      </c>
      <c r="Q285" s="27"/>
    </row>
    <row r="286" customFormat="false" ht="29.85" hidden="false" customHeight="false" outlineLevel="0" collapsed="false">
      <c r="A286" s="36" t="s">
        <v>713</v>
      </c>
      <c r="B286" s="37" t="s">
        <v>34</v>
      </c>
      <c r="C286" s="37" t="n">
        <v>4</v>
      </c>
      <c r="D286" s="37" t="n">
        <v>266</v>
      </c>
      <c r="E286" s="37" t="n">
        <v>92</v>
      </c>
      <c r="F286" s="37" t="s">
        <v>638</v>
      </c>
      <c r="G286" s="37"/>
      <c r="H286" s="38" t="s">
        <v>714</v>
      </c>
      <c r="I286" s="37" t="n">
        <v>69</v>
      </c>
      <c r="J286" s="37" t="n">
        <v>147</v>
      </c>
      <c r="K286" s="37" t="n">
        <v>33</v>
      </c>
      <c r="L286" s="36" t="s">
        <v>179</v>
      </c>
      <c r="M286" s="36" t="s">
        <v>425</v>
      </c>
      <c r="N286" s="38"/>
      <c r="O286" s="39" t="n">
        <v>1</v>
      </c>
      <c r="P286" s="26" t="s">
        <v>28</v>
      </c>
      <c r="Q286" s="27"/>
    </row>
    <row r="287" customFormat="false" ht="29.85" hidden="false" customHeight="false" outlineLevel="0" collapsed="false">
      <c r="A287" s="36" t="s">
        <v>715</v>
      </c>
      <c r="B287" s="37" t="s">
        <v>34</v>
      </c>
      <c r="C287" s="37" t="n">
        <v>4</v>
      </c>
      <c r="D287" s="37" t="n">
        <v>266</v>
      </c>
      <c r="E287" s="37" t="n">
        <v>92</v>
      </c>
      <c r="F287" s="37" t="s">
        <v>638</v>
      </c>
      <c r="G287" s="37"/>
      <c r="H287" s="38" t="s">
        <v>716</v>
      </c>
      <c r="I287" s="37" t="n">
        <v>69</v>
      </c>
      <c r="J287" s="37" t="n">
        <v>150</v>
      </c>
      <c r="K287" s="37" t="n">
        <v>34</v>
      </c>
      <c r="L287" s="36" t="s">
        <v>186</v>
      </c>
      <c r="M287" s="36" t="s">
        <v>717</v>
      </c>
      <c r="N287" s="38" t="s">
        <v>526</v>
      </c>
      <c r="O287" s="39" t="n">
        <v>1</v>
      </c>
      <c r="P287" s="26" t="s">
        <v>28</v>
      </c>
      <c r="Q287" s="27"/>
    </row>
    <row r="288" customFormat="false" ht="29.85" hidden="false" customHeight="false" outlineLevel="0" collapsed="false">
      <c r="A288" s="36" t="s">
        <v>718</v>
      </c>
      <c r="B288" s="37" t="s">
        <v>34</v>
      </c>
      <c r="C288" s="37" t="n">
        <v>4</v>
      </c>
      <c r="D288" s="37" t="n">
        <v>266</v>
      </c>
      <c r="E288" s="37" t="n">
        <v>92</v>
      </c>
      <c r="F288" s="37" t="s">
        <v>638</v>
      </c>
      <c r="G288" s="37"/>
      <c r="H288" s="38" t="s">
        <v>719</v>
      </c>
      <c r="I288" s="37" t="n">
        <v>72</v>
      </c>
      <c r="J288" s="37" t="n">
        <v>156</v>
      </c>
      <c r="K288" s="37" t="n">
        <v>35</v>
      </c>
      <c r="L288" s="36" t="s">
        <v>152</v>
      </c>
      <c r="M288" s="36" t="s">
        <v>393</v>
      </c>
      <c r="N288" s="38" t="s">
        <v>526</v>
      </c>
      <c r="O288" s="39" t="n">
        <v>1</v>
      </c>
      <c r="P288" s="26" t="s">
        <v>28</v>
      </c>
      <c r="Q288" s="27"/>
    </row>
    <row r="289" customFormat="false" ht="29.85" hidden="false" customHeight="false" outlineLevel="0" collapsed="false">
      <c r="A289" s="36" t="s">
        <v>720</v>
      </c>
      <c r="B289" s="37" t="s">
        <v>34</v>
      </c>
      <c r="C289" s="37" t="n">
        <v>4</v>
      </c>
      <c r="D289" s="37" t="n">
        <v>266</v>
      </c>
      <c r="E289" s="37" t="n">
        <v>92</v>
      </c>
      <c r="F289" s="37" t="s">
        <v>638</v>
      </c>
      <c r="G289" s="37"/>
      <c r="H289" s="38" t="s">
        <v>721</v>
      </c>
      <c r="I289" s="37" t="n">
        <v>70</v>
      </c>
      <c r="J289" s="37" t="n">
        <v>156</v>
      </c>
      <c r="K289" s="37" t="n">
        <v>35</v>
      </c>
      <c r="L289" s="36" t="s">
        <v>159</v>
      </c>
      <c r="M289" s="36" t="s">
        <v>173</v>
      </c>
      <c r="N289" s="38" t="s">
        <v>526</v>
      </c>
      <c r="O289" s="39" t="n">
        <v>1</v>
      </c>
      <c r="P289" s="26" t="s">
        <v>28</v>
      </c>
      <c r="Q289" s="27"/>
    </row>
    <row r="290" customFormat="false" ht="29.85" hidden="false" customHeight="false" outlineLevel="0" collapsed="false">
      <c r="A290" s="36" t="s">
        <v>722</v>
      </c>
      <c r="B290" s="37" t="s">
        <v>34</v>
      </c>
      <c r="C290" s="37" t="n">
        <v>4</v>
      </c>
      <c r="D290" s="37" t="n">
        <v>266</v>
      </c>
      <c r="E290" s="37" t="n">
        <v>92</v>
      </c>
      <c r="F290" s="37" t="s">
        <v>638</v>
      </c>
      <c r="G290" s="37"/>
      <c r="H290" s="38" t="s">
        <v>723</v>
      </c>
      <c r="I290" s="37" t="n">
        <v>75</v>
      </c>
      <c r="J290" s="37" t="n">
        <v>157</v>
      </c>
      <c r="K290" s="37" t="n">
        <v>35</v>
      </c>
      <c r="L290" s="36" t="s">
        <v>152</v>
      </c>
      <c r="M290" s="36" t="s">
        <v>260</v>
      </c>
      <c r="N290" s="38" t="s">
        <v>526</v>
      </c>
      <c r="O290" s="39" t="n">
        <v>1</v>
      </c>
      <c r="P290" s="26" t="s">
        <v>28</v>
      </c>
      <c r="Q290" s="27"/>
    </row>
    <row r="291" customFormat="false" ht="29.85" hidden="false" customHeight="false" outlineLevel="0" collapsed="false">
      <c r="A291" s="36" t="s">
        <v>724</v>
      </c>
      <c r="B291" s="37" t="s">
        <v>34</v>
      </c>
      <c r="C291" s="37" t="n">
        <v>4</v>
      </c>
      <c r="D291" s="37" t="n">
        <v>266</v>
      </c>
      <c r="E291" s="37" t="n">
        <v>92</v>
      </c>
      <c r="F291" s="37" t="s">
        <v>638</v>
      </c>
      <c r="G291" s="37"/>
      <c r="H291" s="38" t="s">
        <v>725</v>
      </c>
      <c r="I291" s="37" t="n">
        <v>72</v>
      </c>
      <c r="J291" s="37" t="n">
        <v>157</v>
      </c>
      <c r="K291" s="37" t="n">
        <v>35</v>
      </c>
      <c r="L291" s="36" t="s">
        <v>186</v>
      </c>
      <c r="M291" s="36" t="s">
        <v>418</v>
      </c>
      <c r="N291" s="38" t="s">
        <v>726</v>
      </c>
      <c r="O291" s="39" t="n">
        <v>0.9</v>
      </c>
      <c r="P291" s="26" t="s">
        <v>28</v>
      </c>
      <c r="Q291" s="27"/>
    </row>
    <row r="292" customFormat="false" ht="29.85" hidden="false" customHeight="false" outlineLevel="0" collapsed="false">
      <c r="A292" s="36" t="s">
        <v>727</v>
      </c>
      <c r="B292" s="37" t="s">
        <v>34</v>
      </c>
      <c r="C292" s="37" t="n">
        <v>4</v>
      </c>
      <c r="D292" s="37" t="n">
        <v>266</v>
      </c>
      <c r="E292" s="37" t="n">
        <v>92</v>
      </c>
      <c r="F292" s="37" t="s">
        <v>638</v>
      </c>
      <c r="G292" s="37"/>
      <c r="H292" s="38" t="s">
        <v>728</v>
      </c>
      <c r="I292" s="37" t="n">
        <v>74</v>
      </c>
      <c r="J292" s="37" t="n">
        <v>157</v>
      </c>
      <c r="K292" s="37" t="n">
        <v>35</v>
      </c>
      <c r="L292" s="36" t="s">
        <v>152</v>
      </c>
      <c r="M292" s="36" t="s">
        <v>210</v>
      </c>
      <c r="N292" s="38" t="s">
        <v>526</v>
      </c>
      <c r="O292" s="39" t="n">
        <v>1</v>
      </c>
      <c r="P292" s="26" t="s">
        <v>28</v>
      </c>
      <c r="Q292" s="27"/>
    </row>
    <row r="293" customFormat="false" ht="29.85" hidden="false" customHeight="false" outlineLevel="0" collapsed="false">
      <c r="A293" s="36" t="s">
        <v>729</v>
      </c>
      <c r="B293" s="37" t="s">
        <v>34</v>
      </c>
      <c r="C293" s="37" t="n">
        <v>5</v>
      </c>
      <c r="D293" s="37" t="n">
        <v>280</v>
      </c>
      <c r="E293" s="37" t="n">
        <v>92</v>
      </c>
      <c r="F293" s="37" t="s">
        <v>638</v>
      </c>
      <c r="G293" s="37"/>
      <c r="H293" s="38" t="s">
        <v>730</v>
      </c>
      <c r="I293" s="37" t="n">
        <v>79</v>
      </c>
      <c r="J293" s="37" t="n">
        <v>158</v>
      </c>
      <c r="K293" s="37" t="n">
        <v>34</v>
      </c>
      <c r="L293" s="36" t="s">
        <v>159</v>
      </c>
      <c r="M293" s="36" t="s">
        <v>731</v>
      </c>
      <c r="N293" s="38" t="s">
        <v>526</v>
      </c>
      <c r="O293" s="39" t="n">
        <v>1</v>
      </c>
      <c r="P293" s="26" t="s">
        <v>28</v>
      </c>
      <c r="Q293" s="27"/>
    </row>
    <row r="294" customFormat="false" ht="29.85" hidden="false" customHeight="false" outlineLevel="0" collapsed="false">
      <c r="A294" s="36" t="s">
        <v>732</v>
      </c>
      <c r="B294" s="37" t="s">
        <v>34</v>
      </c>
      <c r="C294" s="37" t="n">
        <v>5</v>
      </c>
      <c r="D294" s="37" t="n">
        <v>280</v>
      </c>
      <c r="E294" s="37" t="n">
        <v>92</v>
      </c>
      <c r="F294" s="37" t="s">
        <v>638</v>
      </c>
      <c r="G294" s="37"/>
      <c r="H294" s="40" t="s">
        <v>733</v>
      </c>
      <c r="I294" s="37" t="n">
        <v>74</v>
      </c>
      <c r="J294" s="37" t="n">
        <v>163</v>
      </c>
      <c r="K294" s="37" t="n">
        <v>35</v>
      </c>
      <c r="L294" s="36" t="s">
        <v>152</v>
      </c>
      <c r="M294" s="36" t="s">
        <v>341</v>
      </c>
      <c r="N294" s="38" t="s">
        <v>526</v>
      </c>
      <c r="O294" s="39" t="n">
        <v>1</v>
      </c>
      <c r="P294" s="26" t="s">
        <v>28</v>
      </c>
      <c r="Q294" s="27"/>
    </row>
    <row r="295" customFormat="false" ht="29.85" hidden="false" customHeight="false" outlineLevel="0" collapsed="false">
      <c r="A295" s="36" t="s">
        <v>734</v>
      </c>
      <c r="B295" s="37" t="s">
        <v>34</v>
      </c>
      <c r="C295" s="37" t="n">
        <v>5</v>
      </c>
      <c r="D295" s="37" t="n">
        <v>280</v>
      </c>
      <c r="E295" s="37" t="n">
        <v>92</v>
      </c>
      <c r="F295" s="37" t="s">
        <v>638</v>
      </c>
      <c r="G295" s="37"/>
      <c r="H295" s="38" t="s">
        <v>735</v>
      </c>
      <c r="I295" s="37" t="n">
        <v>83</v>
      </c>
      <c r="J295" s="37" t="n">
        <v>179</v>
      </c>
      <c r="K295" s="37" t="n">
        <v>38</v>
      </c>
      <c r="L295" s="36" t="s">
        <v>152</v>
      </c>
      <c r="M295" s="36" t="s">
        <v>393</v>
      </c>
      <c r="N295" s="38" t="s">
        <v>526</v>
      </c>
      <c r="O295" s="39" t="n">
        <v>1</v>
      </c>
      <c r="P295" s="26" t="s">
        <v>28</v>
      </c>
      <c r="Q295" s="27"/>
    </row>
    <row r="296" customFormat="false" ht="29.85" hidden="false" customHeight="false" outlineLevel="0" collapsed="false">
      <c r="A296" s="36" t="s">
        <v>736</v>
      </c>
      <c r="B296" s="37" t="s">
        <v>34</v>
      </c>
      <c r="C296" s="37" t="n">
        <v>5</v>
      </c>
      <c r="D296" s="37" t="n">
        <v>280</v>
      </c>
      <c r="E296" s="37" t="n">
        <v>92</v>
      </c>
      <c r="F296" s="37" t="s">
        <v>638</v>
      </c>
      <c r="G296" s="37"/>
      <c r="H296" s="38" t="s">
        <v>737</v>
      </c>
      <c r="I296" s="37" t="n">
        <v>89</v>
      </c>
      <c r="J296" s="37" t="n">
        <v>185</v>
      </c>
      <c r="K296" s="37" t="n">
        <v>40</v>
      </c>
      <c r="L296" s="36" t="s">
        <v>166</v>
      </c>
      <c r="M296" s="36" t="s">
        <v>460</v>
      </c>
      <c r="N296" s="38" t="s">
        <v>526</v>
      </c>
      <c r="O296" s="39" t="n">
        <v>1</v>
      </c>
      <c r="P296" s="26" t="s">
        <v>28</v>
      </c>
      <c r="Q296" s="27"/>
    </row>
    <row r="297" customFormat="false" ht="29.85" hidden="false" customHeight="false" outlineLevel="0" collapsed="false">
      <c r="A297" s="36" t="s">
        <v>738</v>
      </c>
      <c r="B297" s="37" t="s">
        <v>34</v>
      </c>
      <c r="C297" s="37" t="n">
        <v>5</v>
      </c>
      <c r="D297" s="37" t="n">
        <v>280</v>
      </c>
      <c r="E297" s="37" t="n">
        <v>92</v>
      </c>
      <c r="F297" s="37" t="s">
        <v>638</v>
      </c>
      <c r="G297" s="37"/>
      <c r="H297" s="38" t="s">
        <v>739</v>
      </c>
      <c r="I297" s="37" t="n">
        <v>90</v>
      </c>
      <c r="J297" s="37" t="n">
        <v>188</v>
      </c>
      <c r="K297" s="37" t="n">
        <v>40</v>
      </c>
      <c r="L297" s="36" t="s">
        <v>166</v>
      </c>
      <c r="M297" s="36" t="s">
        <v>353</v>
      </c>
      <c r="N297" s="38" t="s">
        <v>526</v>
      </c>
      <c r="O297" s="39" t="n">
        <v>1</v>
      </c>
      <c r="P297" s="26" t="s">
        <v>28</v>
      </c>
      <c r="Q297" s="27"/>
    </row>
    <row r="298" customFormat="false" ht="29.85" hidden="false" customHeight="false" outlineLevel="0" collapsed="false">
      <c r="A298" s="36" t="s">
        <v>740</v>
      </c>
      <c r="B298" s="37" t="s">
        <v>34</v>
      </c>
      <c r="C298" s="37" t="n">
        <v>5</v>
      </c>
      <c r="D298" s="37" t="n">
        <v>280</v>
      </c>
      <c r="E298" s="37" t="n">
        <v>92</v>
      </c>
      <c r="F298" s="37" t="s">
        <v>638</v>
      </c>
      <c r="G298" s="37"/>
      <c r="H298" s="38" t="s">
        <v>741</v>
      </c>
      <c r="I298" s="37" t="n">
        <v>86</v>
      </c>
      <c r="J298" s="37" t="n">
        <v>191</v>
      </c>
      <c r="K298" s="37" t="n">
        <v>41</v>
      </c>
      <c r="L298" s="36" t="s">
        <v>186</v>
      </c>
      <c r="M298" s="36" t="s">
        <v>470</v>
      </c>
      <c r="N298" s="38" t="s">
        <v>526</v>
      </c>
      <c r="O298" s="39" t="n">
        <v>1</v>
      </c>
      <c r="P298" s="26" t="s">
        <v>28</v>
      </c>
      <c r="Q298" s="27"/>
    </row>
    <row r="299" customFormat="false" ht="29.85" hidden="false" customHeight="false" outlineLevel="0" collapsed="false">
      <c r="A299" s="36" t="s">
        <v>742</v>
      </c>
      <c r="B299" s="37" t="s">
        <v>34</v>
      </c>
      <c r="C299" s="37" t="n">
        <v>5</v>
      </c>
      <c r="D299" s="37" t="n">
        <v>280</v>
      </c>
      <c r="E299" s="37" t="n">
        <v>92</v>
      </c>
      <c r="F299" s="37" t="s">
        <v>638</v>
      </c>
      <c r="G299" s="37"/>
      <c r="H299" s="38" t="s">
        <v>743</v>
      </c>
      <c r="I299" s="37" t="n">
        <v>88</v>
      </c>
      <c r="J299" s="37" t="n">
        <v>194</v>
      </c>
      <c r="K299" s="37" t="n">
        <v>42</v>
      </c>
      <c r="L299" s="36" t="s">
        <v>152</v>
      </c>
      <c r="M299" s="36" t="s">
        <v>642</v>
      </c>
      <c r="N299" s="38" t="s">
        <v>526</v>
      </c>
      <c r="O299" s="39" t="n">
        <v>1</v>
      </c>
      <c r="P299" s="26" t="s">
        <v>28</v>
      </c>
      <c r="Q299" s="27"/>
    </row>
    <row r="300" customFormat="false" ht="29.85" hidden="false" customHeight="false" outlineLevel="0" collapsed="false">
      <c r="A300" s="36" t="s">
        <v>744</v>
      </c>
      <c r="B300" s="37" t="s">
        <v>34</v>
      </c>
      <c r="C300" s="37" t="n">
        <v>5</v>
      </c>
      <c r="D300" s="37" t="n">
        <v>280</v>
      </c>
      <c r="E300" s="37" t="n">
        <v>92</v>
      </c>
      <c r="F300" s="37" t="s">
        <v>638</v>
      </c>
      <c r="G300" s="37"/>
      <c r="H300" s="38" t="s">
        <v>745</v>
      </c>
      <c r="I300" s="37" t="n">
        <v>103</v>
      </c>
      <c r="J300" s="37" t="n">
        <v>224</v>
      </c>
      <c r="K300" s="37" t="n">
        <v>48</v>
      </c>
      <c r="L300" s="36" t="s">
        <v>186</v>
      </c>
      <c r="M300" s="36" t="s">
        <v>187</v>
      </c>
      <c r="N300" s="38" t="s">
        <v>526</v>
      </c>
      <c r="O300" s="39" t="n">
        <v>1</v>
      </c>
      <c r="P300" s="26" t="s">
        <v>28</v>
      </c>
      <c r="Q300" s="27"/>
    </row>
    <row r="301" customFormat="false" ht="44" hidden="false" customHeight="false" outlineLevel="0" collapsed="false">
      <c r="A301" s="36" t="s">
        <v>746</v>
      </c>
      <c r="B301" s="37" t="s">
        <v>34</v>
      </c>
      <c r="C301" s="37" t="n">
        <v>5</v>
      </c>
      <c r="D301" s="37" t="n">
        <v>280</v>
      </c>
      <c r="E301" s="37" t="n">
        <v>92</v>
      </c>
      <c r="F301" s="37" t="s">
        <v>638</v>
      </c>
      <c r="G301" s="37"/>
      <c r="H301" s="38" t="s">
        <v>747</v>
      </c>
      <c r="I301" s="37" t="n">
        <v>109</v>
      </c>
      <c r="J301" s="37" t="n">
        <v>229</v>
      </c>
      <c r="K301" s="37" t="n">
        <v>49</v>
      </c>
      <c r="L301" s="36" t="s">
        <v>152</v>
      </c>
      <c r="M301" s="36" t="s">
        <v>396</v>
      </c>
      <c r="N301" s="38" t="s">
        <v>526</v>
      </c>
      <c r="O301" s="39" t="n">
        <v>1</v>
      </c>
      <c r="P301" s="26" t="s">
        <v>28</v>
      </c>
      <c r="Q301" s="27"/>
    </row>
    <row r="302" customFormat="false" ht="44" hidden="false" customHeight="false" outlineLevel="0" collapsed="false">
      <c r="A302" s="36" t="s">
        <v>748</v>
      </c>
      <c r="B302" s="37" t="s">
        <v>34</v>
      </c>
      <c r="C302" s="37" t="n">
        <v>5</v>
      </c>
      <c r="D302" s="37" t="n">
        <v>280</v>
      </c>
      <c r="E302" s="37" t="n">
        <v>92</v>
      </c>
      <c r="F302" s="37" t="s">
        <v>638</v>
      </c>
      <c r="G302" s="37"/>
      <c r="H302" s="38" t="s">
        <v>749</v>
      </c>
      <c r="I302" s="37" t="n">
        <v>106</v>
      </c>
      <c r="J302" s="37" t="n">
        <v>231</v>
      </c>
      <c r="K302" s="37" t="n">
        <v>50</v>
      </c>
      <c r="L302" s="36" t="s">
        <v>152</v>
      </c>
      <c r="M302" s="36" t="s">
        <v>153</v>
      </c>
      <c r="N302" s="38" t="s">
        <v>526</v>
      </c>
      <c r="O302" s="39" t="n">
        <v>1</v>
      </c>
      <c r="P302" s="26" t="s">
        <v>28</v>
      </c>
      <c r="Q302" s="27"/>
    </row>
    <row r="303" customFormat="false" ht="29.85" hidden="false" customHeight="false" outlineLevel="0" collapsed="false">
      <c r="A303" s="41" t="s">
        <v>750</v>
      </c>
      <c r="B303" s="42" t="s">
        <v>35</v>
      </c>
      <c r="C303" s="42" t="n">
        <v>1</v>
      </c>
      <c r="D303" s="42" t="n">
        <v>295</v>
      </c>
      <c r="E303" s="42" t="n">
        <v>93</v>
      </c>
      <c r="F303" s="42" t="s">
        <v>751</v>
      </c>
      <c r="G303" s="42"/>
      <c r="H303" s="43" t="s">
        <v>752</v>
      </c>
      <c r="I303" s="42" t="n">
        <v>77</v>
      </c>
      <c r="J303" s="42" t="n">
        <v>157</v>
      </c>
      <c r="K303" s="42" t="n">
        <v>32</v>
      </c>
      <c r="L303" s="41" t="s">
        <v>159</v>
      </c>
      <c r="M303" s="41" t="s">
        <v>238</v>
      </c>
      <c r="N303" s="43" t="s">
        <v>753</v>
      </c>
      <c r="O303" s="44" t="n">
        <v>1</v>
      </c>
      <c r="P303" s="26" t="s">
        <v>28</v>
      </c>
      <c r="Q303" s="27"/>
    </row>
    <row r="304" customFormat="false" ht="29.85" hidden="false" customHeight="false" outlineLevel="0" collapsed="false">
      <c r="A304" s="41" t="s">
        <v>754</v>
      </c>
      <c r="B304" s="42" t="s">
        <v>35</v>
      </c>
      <c r="C304" s="42" t="n">
        <v>1</v>
      </c>
      <c r="D304" s="42" t="n">
        <v>295</v>
      </c>
      <c r="E304" s="42" t="n">
        <v>93</v>
      </c>
      <c r="F304" s="42" t="s">
        <v>751</v>
      </c>
      <c r="G304" s="42"/>
      <c r="H304" s="43" t="s">
        <v>755</v>
      </c>
      <c r="I304" s="42" t="n">
        <v>91</v>
      </c>
      <c r="J304" s="42" t="n">
        <v>190</v>
      </c>
      <c r="K304" s="42" t="n">
        <v>39</v>
      </c>
      <c r="L304" s="41" t="s">
        <v>179</v>
      </c>
      <c r="M304" s="41" t="s">
        <v>756</v>
      </c>
      <c r="N304" s="43" t="s">
        <v>757</v>
      </c>
      <c r="O304" s="44" t="n">
        <v>1</v>
      </c>
      <c r="P304" s="26" t="s">
        <v>28</v>
      </c>
      <c r="Q304" s="27"/>
    </row>
    <row r="305" customFormat="false" ht="29.85" hidden="false" customHeight="false" outlineLevel="0" collapsed="false">
      <c r="A305" s="41" t="s">
        <v>758</v>
      </c>
      <c r="B305" s="42" t="s">
        <v>35</v>
      </c>
      <c r="C305" s="42" t="n">
        <v>1</v>
      </c>
      <c r="D305" s="42" t="n">
        <v>295</v>
      </c>
      <c r="E305" s="42" t="n">
        <v>93</v>
      </c>
      <c r="F305" s="42" t="s">
        <v>751</v>
      </c>
      <c r="G305" s="42"/>
      <c r="H305" s="43" t="s">
        <v>759</v>
      </c>
      <c r="I305" s="42" t="n">
        <v>96</v>
      </c>
      <c r="J305" s="42" t="n">
        <v>191</v>
      </c>
      <c r="K305" s="42" t="n">
        <v>39</v>
      </c>
      <c r="L305" s="41" t="s">
        <v>179</v>
      </c>
      <c r="M305" s="41" t="s">
        <v>180</v>
      </c>
      <c r="N305" s="43"/>
      <c r="O305" s="44" t="n">
        <v>1</v>
      </c>
      <c r="P305" s="26" t="s">
        <v>28</v>
      </c>
      <c r="Q305" s="27"/>
    </row>
    <row r="306" customFormat="false" ht="29.85" hidden="false" customHeight="false" outlineLevel="0" collapsed="false">
      <c r="A306" s="41" t="s">
        <v>760</v>
      </c>
      <c r="B306" s="42" t="s">
        <v>35</v>
      </c>
      <c r="C306" s="42" t="n">
        <v>1</v>
      </c>
      <c r="D306" s="42" t="n">
        <v>295</v>
      </c>
      <c r="E306" s="42" t="n">
        <v>93</v>
      </c>
      <c r="F306" s="42" t="s">
        <v>751</v>
      </c>
      <c r="G306" s="42"/>
      <c r="H306" s="43" t="s">
        <v>761</v>
      </c>
      <c r="I306" s="42" t="n">
        <v>92</v>
      </c>
      <c r="J306" s="42" t="n">
        <v>192</v>
      </c>
      <c r="K306" s="42" t="n">
        <v>39</v>
      </c>
      <c r="L306" s="41" t="s">
        <v>179</v>
      </c>
      <c r="M306" s="41" t="s">
        <v>762</v>
      </c>
      <c r="N306" s="43" t="s">
        <v>763</v>
      </c>
      <c r="O306" s="44" t="n">
        <v>1</v>
      </c>
      <c r="P306" s="26" t="s">
        <v>28</v>
      </c>
      <c r="Q306" s="27"/>
    </row>
    <row r="307" customFormat="false" ht="29.85" hidden="false" customHeight="false" outlineLevel="0" collapsed="false">
      <c r="A307" s="41" t="s">
        <v>764</v>
      </c>
      <c r="B307" s="42" t="s">
        <v>35</v>
      </c>
      <c r="C307" s="42" t="n">
        <v>1</v>
      </c>
      <c r="D307" s="42" t="n">
        <v>295</v>
      </c>
      <c r="E307" s="42" t="n">
        <v>93</v>
      </c>
      <c r="F307" s="42" t="s">
        <v>751</v>
      </c>
      <c r="G307" s="42"/>
      <c r="H307" s="43" t="s">
        <v>765</v>
      </c>
      <c r="I307" s="42" t="n">
        <v>96</v>
      </c>
      <c r="J307" s="42" t="n">
        <v>197</v>
      </c>
      <c r="K307" s="42" t="n">
        <v>40</v>
      </c>
      <c r="L307" s="41" t="s">
        <v>179</v>
      </c>
      <c r="M307" s="41" t="s">
        <v>766</v>
      </c>
      <c r="N307" s="43"/>
      <c r="O307" s="44" t="n">
        <v>1</v>
      </c>
      <c r="P307" s="26" t="s">
        <v>28</v>
      </c>
      <c r="Q307" s="27"/>
    </row>
    <row r="308" customFormat="false" ht="29.85" hidden="false" customHeight="false" outlineLevel="0" collapsed="false">
      <c r="A308" s="41" t="s">
        <v>767</v>
      </c>
      <c r="B308" s="42" t="s">
        <v>35</v>
      </c>
      <c r="C308" s="42" t="n">
        <v>1</v>
      </c>
      <c r="D308" s="42" t="n">
        <v>295</v>
      </c>
      <c r="E308" s="42" t="n">
        <v>93</v>
      </c>
      <c r="F308" s="42" t="s">
        <v>751</v>
      </c>
      <c r="G308" s="42"/>
      <c r="H308" s="43" t="s">
        <v>768</v>
      </c>
      <c r="I308" s="42" t="n">
        <v>95</v>
      </c>
      <c r="J308" s="42" t="n">
        <v>204</v>
      </c>
      <c r="K308" s="42" t="n">
        <v>41</v>
      </c>
      <c r="L308" s="41" t="s">
        <v>159</v>
      </c>
      <c r="M308" s="41" t="s">
        <v>173</v>
      </c>
      <c r="N308" s="43" t="s">
        <v>753</v>
      </c>
      <c r="O308" s="44" t="n">
        <v>1</v>
      </c>
      <c r="P308" s="26" t="s">
        <v>28</v>
      </c>
      <c r="Q308" s="27"/>
    </row>
    <row r="309" customFormat="false" ht="29.85" hidden="false" customHeight="false" outlineLevel="0" collapsed="false">
      <c r="A309" s="41" t="s">
        <v>769</v>
      </c>
      <c r="B309" s="42" t="s">
        <v>35</v>
      </c>
      <c r="C309" s="42" t="n">
        <v>1</v>
      </c>
      <c r="D309" s="42" t="n">
        <v>295</v>
      </c>
      <c r="E309" s="42" t="n">
        <v>93</v>
      </c>
      <c r="F309" s="42" t="s">
        <v>751</v>
      </c>
      <c r="G309" s="42"/>
      <c r="H309" s="43" t="s">
        <v>770</v>
      </c>
      <c r="I309" s="42" t="n">
        <v>98</v>
      </c>
      <c r="J309" s="42" t="n">
        <v>210</v>
      </c>
      <c r="K309" s="42" t="n">
        <v>43</v>
      </c>
      <c r="L309" s="41" t="s">
        <v>179</v>
      </c>
      <c r="M309" s="41" t="s">
        <v>771</v>
      </c>
      <c r="N309" s="43"/>
      <c r="O309" s="44" t="n">
        <v>1</v>
      </c>
      <c r="P309" s="26" t="s">
        <v>28</v>
      </c>
      <c r="Q309" s="27"/>
    </row>
    <row r="310" customFormat="false" ht="44" hidden="false" customHeight="false" outlineLevel="0" collapsed="false">
      <c r="A310" s="41" t="s">
        <v>772</v>
      </c>
      <c r="B310" s="42" t="s">
        <v>35</v>
      </c>
      <c r="C310" s="42" t="n">
        <v>1</v>
      </c>
      <c r="D310" s="42" t="n">
        <v>295</v>
      </c>
      <c r="E310" s="42" t="n">
        <v>93</v>
      </c>
      <c r="F310" s="42" t="s">
        <v>751</v>
      </c>
      <c r="G310" s="42"/>
      <c r="H310" s="43" t="s">
        <v>773</v>
      </c>
      <c r="I310" s="42" t="n">
        <v>104</v>
      </c>
      <c r="J310" s="42" t="n">
        <v>214</v>
      </c>
      <c r="K310" s="42" t="n">
        <v>44</v>
      </c>
      <c r="L310" s="41" t="s">
        <v>179</v>
      </c>
      <c r="M310" s="41" t="s">
        <v>774</v>
      </c>
      <c r="N310" s="43" t="s">
        <v>763</v>
      </c>
      <c r="O310" s="44" t="n">
        <v>1</v>
      </c>
      <c r="P310" s="26" t="s">
        <v>28</v>
      </c>
      <c r="Q310" s="27"/>
    </row>
    <row r="311" customFormat="false" ht="44" hidden="false" customHeight="false" outlineLevel="0" collapsed="false">
      <c r="A311" s="41" t="s">
        <v>775</v>
      </c>
      <c r="B311" s="42" t="s">
        <v>35</v>
      </c>
      <c r="C311" s="42" t="n">
        <v>2</v>
      </c>
      <c r="D311" s="42" t="n">
        <v>306</v>
      </c>
      <c r="E311" s="42" t="n">
        <v>93</v>
      </c>
      <c r="F311" s="42" t="s">
        <v>751</v>
      </c>
      <c r="G311" s="42"/>
      <c r="H311" s="43" t="s">
        <v>776</v>
      </c>
      <c r="I311" s="42" t="n">
        <v>104</v>
      </c>
      <c r="J311" s="42" t="n">
        <v>227</v>
      </c>
      <c r="K311" s="42" t="n">
        <v>45</v>
      </c>
      <c r="L311" s="41" t="s">
        <v>179</v>
      </c>
      <c r="M311" s="41" t="s">
        <v>777</v>
      </c>
      <c r="N311" s="43"/>
      <c r="O311" s="44" t="n">
        <v>1</v>
      </c>
      <c r="P311" s="26" t="s">
        <v>28</v>
      </c>
      <c r="Q311" s="27"/>
    </row>
    <row r="312" customFormat="false" ht="44" hidden="false" customHeight="false" outlineLevel="0" collapsed="false">
      <c r="A312" s="41" t="s">
        <v>778</v>
      </c>
      <c r="B312" s="42" t="s">
        <v>35</v>
      </c>
      <c r="C312" s="42" t="n">
        <v>2</v>
      </c>
      <c r="D312" s="42" t="n">
        <v>306</v>
      </c>
      <c r="E312" s="42" t="n">
        <v>93</v>
      </c>
      <c r="F312" s="42" t="s">
        <v>751</v>
      </c>
      <c r="G312" s="42"/>
      <c r="H312" s="43" t="s">
        <v>779</v>
      </c>
      <c r="I312" s="42" t="n">
        <v>110</v>
      </c>
      <c r="J312" s="42" t="n">
        <v>229</v>
      </c>
      <c r="K312" s="42" t="n">
        <v>45</v>
      </c>
      <c r="L312" s="41" t="s">
        <v>179</v>
      </c>
      <c r="M312" s="41" t="s">
        <v>780</v>
      </c>
      <c r="N312" s="43"/>
      <c r="O312" s="44" t="n">
        <v>1</v>
      </c>
      <c r="P312" s="26" t="s">
        <v>28</v>
      </c>
      <c r="Q312" s="27"/>
    </row>
    <row r="313" customFormat="false" ht="44" hidden="false" customHeight="false" outlineLevel="0" collapsed="false">
      <c r="A313" s="41" t="s">
        <v>781</v>
      </c>
      <c r="B313" s="42" t="s">
        <v>35</v>
      </c>
      <c r="C313" s="42" t="n">
        <v>2</v>
      </c>
      <c r="D313" s="42" t="n">
        <v>306</v>
      </c>
      <c r="E313" s="42" t="n">
        <v>93</v>
      </c>
      <c r="F313" s="42" t="s">
        <v>751</v>
      </c>
      <c r="G313" s="42"/>
      <c r="H313" s="43" t="s">
        <v>782</v>
      </c>
      <c r="I313" s="42" t="n">
        <v>109</v>
      </c>
      <c r="J313" s="42" t="n">
        <v>232</v>
      </c>
      <c r="K313" s="42" t="n">
        <v>45</v>
      </c>
      <c r="L313" s="41" t="s">
        <v>179</v>
      </c>
      <c r="M313" s="41" t="s">
        <v>536</v>
      </c>
      <c r="N313" s="43"/>
      <c r="O313" s="44" t="n">
        <v>1</v>
      </c>
      <c r="P313" s="26" t="s">
        <v>28</v>
      </c>
      <c r="Q313" s="27"/>
    </row>
    <row r="314" customFormat="false" ht="44" hidden="false" customHeight="false" outlineLevel="0" collapsed="false">
      <c r="A314" s="41" t="s">
        <v>783</v>
      </c>
      <c r="B314" s="42" t="s">
        <v>35</v>
      </c>
      <c r="C314" s="42" t="n">
        <v>2</v>
      </c>
      <c r="D314" s="42" t="n">
        <v>306</v>
      </c>
      <c r="E314" s="42" t="n">
        <v>93</v>
      </c>
      <c r="F314" s="42" t="s">
        <v>751</v>
      </c>
      <c r="G314" s="42"/>
      <c r="H314" s="43" t="s">
        <v>784</v>
      </c>
      <c r="I314" s="42" t="n">
        <v>111</v>
      </c>
      <c r="J314" s="42" t="n">
        <v>236</v>
      </c>
      <c r="K314" s="42" t="n">
        <v>46</v>
      </c>
      <c r="L314" s="41" t="s">
        <v>179</v>
      </c>
      <c r="M314" s="41" t="s">
        <v>616</v>
      </c>
      <c r="N314" s="43"/>
      <c r="O314" s="44" t="n">
        <v>1</v>
      </c>
      <c r="P314" s="26" t="s">
        <v>28</v>
      </c>
      <c r="Q314" s="27"/>
    </row>
    <row r="315" customFormat="false" ht="44" hidden="false" customHeight="false" outlineLevel="0" collapsed="false">
      <c r="A315" s="41" t="s">
        <v>785</v>
      </c>
      <c r="B315" s="42" t="s">
        <v>35</v>
      </c>
      <c r="C315" s="42" t="n">
        <v>2</v>
      </c>
      <c r="D315" s="42" t="n">
        <v>306</v>
      </c>
      <c r="E315" s="42" t="n">
        <v>93</v>
      </c>
      <c r="F315" s="42" t="s">
        <v>751</v>
      </c>
      <c r="G315" s="42"/>
      <c r="H315" s="43" t="s">
        <v>786</v>
      </c>
      <c r="I315" s="42" t="n">
        <v>117</v>
      </c>
      <c r="J315" s="42" t="n">
        <v>249</v>
      </c>
      <c r="K315" s="42" t="n">
        <v>49</v>
      </c>
      <c r="L315" s="41" t="s">
        <v>159</v>
      </c>
      <c r="M315" s="41" t="s">
        <v>787</v>
      </c>
      <c r="N315" s="43"/>
      <c r="O315" s="44" t="n">
        <v>1</v>
      </c>
      <c r="P315" s="26" t="s">
        <v>28</v>
      </c>
      <c r="Q315" s="27"/>
    </row>
    <row r="316" customFormat="false" ht="44" hidden="false" customHeight="false" outlineLevel="0" collapsed="false">
      <c r="A316" s="41" t="s">
        <v>788</v>
      </c>
      <c r="B316" s="42" t="s">
        <v>35</v>
      </c>
      <c r="C316" s="42" t="n">
        <v>2</v>
      </c>
      <c r="D316" s="42" t="n">
        <v>306</v>
      </c>
      <c r="E316" s="42" t="n">
        <v>93</v>
      </c>
      <c r="F316" s="42" t="s">
        <v>751</v>
      </c>
      <c r="G316" s="42"/>
      <c r="H316" s="43" t="s">
        <v>789</v>
      </c>
      <c r="I316" s="42" t="n">
        <v>119</v>
      </c>
      <c r="J316" s="42" t="n">
        <v>250</v>
      </c>
      <c r="K316" s="42" t="n">
        <v>49</v>
      </c>
      <c r="L316" s="41" t="s">
        <v>166</v>
      </c>
      <c r="M316" s="41" t="s">
        <v>314</v>
      </c>
      <c r="N316" s="43"/>
      <c r="O316" s="44" t="n">
        <v>1</v>
      </c>
      <c r="P316" s="26" t="s">
        <v>28</v>
      </c>
      <c r="Q316" s="27"/>
    </row>
    <row r="317" customFormat="false" ht="44" hidden="false" customHeight="false" outlineLevel="0" collapsed="false">
      <c r="A317" s="41" t="s">
        <v>790</v>
      </c>
      <c r="B317" s="42" t="s">
        <v>35</v>
      </c>
      <c r="C317" s="42" t="n">
        <v>2</v>
      </c>
      <c r="D317" s="42" t="n">
        <v>306</v>
      </c>
      <c r="E317" s="42" t="n">
        <v>93</v>
      </c>
      <c r="F317" s="42" t="s">
        <v>751</v>
      </c>
      <c r="G317" s="42"/>
      <c r="H317" s="43" t="s">
        <v>791</v>
      </c>
      <c r="I317" s="42" t="n">
        <v>115</v>
      </c>
      <c r="J317" s="42" t="n">
        <v>251</v>
      </c>
      <c r="K317" s="42" t="n">
        <v>49</v>
      </c>
      <c r="L317" s="41" t="s">
        <v>166</v>
      </c>
      <c r="M317" s="41" t="s">
        <v>284</v>
      </c>
      <c r="N317" s="43"/>
      <c r="O317" s="44" t="n">
        <v>1</v>
      </c>
      <c r="P317" s="26" t="s">
        <v>28</v>
      </c>
      <c r="Q317" s="27"/>
    </row>
    <row r="318" customFormat="false" ht="44" hidden="false" customHeight="false" outlineLevel="0" collapsed="false">
      <c r="A318" s="41" t="s">
        <v>792</v>
      </c>
      <c r="B318" s="42" t="s">
        <v>35</v>
      </c>
      <c r="C318" s="42" t="n">
        <v>3</v>
      </c>
      <c r="D318" s="42" t="n">
        <v>318</v>
      </c>
      <c r="E318" s="42" t="n">
        <v>93</v>
      </c>
      <c r="F318" s="42" t="s">
        <v>751</v>
      </c>
      <c r="G318" s="42"/>
      <c r="H318" s="43" t="s">
        <v>793</v>
      </c>
      <c r="I318" s="42" t="n">
        <v>120</v>
      </c>
      <c r="J318" s="42" t="n">
        <v>253</v>
      </c>
      <c r="K318" s="42" t="n">
        <v>48</v>
      </c>
      <c r="L318" s="41" t="s">
        <v>179</v>
      </c>
      <c r="M318" s="41" t="s">
        <v>794</v>
      </c>
      <c r="N318" s="43"/>
      <c r="O318" s="44" t="n">
        <v>1</v>
      </c>
      <c r="P318" s="26" t="s">
        <v>28</v>
      </c>
      <c r="Q318" s="27"/>
    </row>
    <row r="319" customFormat="false" ht="44" hidden="false" customHeight="false" outlineLevel="0" collapsed="false">
      <c r="A319" s="41" t="s">
        <v>795</v>
      </c>
      <c r="B319" s="42" t="s">
        <v>35</v>
      </c>
      <c r="C319" s="42" t="n">
        <v>3</v>
      </c>
      <c r="D319" s="42" t="n">
        <v>318</v>
      </c>
      <c r="E319" s="42" t="n">
        <v>93</v>
      </c>
      <c r="F319" s="42" t="s">
        <v>751</v>
      </c>
      <c r="G319" s="42"/>
      <c r="H319" s="43" t="s">
        <v>796</v>
      </c>
      <c r="I319" s="42" t="n">
        <v>117</v>
      </c>
      <c r="J319" s="42" t="n">
        <v>259</v>
      </c>
      <c r="K319" s="42" t="n">
        <v>49</v>
      </c>
      <c r="L319" s="41" t="s">
        <v>179</v>
      </c>
      <c r="M319" s="41" t="s">
        <v>245</v>
      </c>
      <c r="N319" s="43"/>
      <c r="O319" s="44" t="n">
        <v>1</v>
      </c>
      <c r="P319" s="26" t="s">
        <v>28</v>
      </c>
      <c r="Q319" s="27"/>
    </row>
    <row r="320" customFormat="false" ht="44" hidden="false" customHeight="false" outlineLevel="0" collapsed="false">
      <c r="A320" s="41" t="s">
        <v>797</v>
      </c>
      <c r="B320" s="42" t="s">
        <v>35</v>
      </c>
      <c r="C320" s="42" t="n">
        <v>3</v>
      </c>
      <c r="D320" s="42" t="n">
        <v>318</v>
      </c>
      <c r="E320" s="42" t="n">
        <v>93</v>
      </c>
      <c r="F320" s="42" t="s">
        <v>751</v>
      </c>
      <c r="G320" s="42"/>
      <c r="H320" s="43" t="s">
        <v>798</v>
      </c>
      <c r="I320" s="42" t="n">
        <v>120</v>
      </c>
      <c r="J320" s="42" t="n">
        <v>264</v>
      </c>
      <c r="K320" s="42" t="n">
        <v>50</v>
      </c>
      <c r="L320" s="41" t="s">
        <v>152</v>
      </c>
      <c r="M320" s="41" t="s">
        <v>225</v>
      </c>
      <c r="N320" s="43"/>
      <c r="O320" s="44" t="n">
        <v>1</v>
      </c>
      <c r="P320" s="26" t="s">
        <v>28</v>
      </c>
      <c r="Q320" s="27"/>
    </row>
    <row r="321" customFormat="false" ht="44" hidden="false" customHeight="false" outlineLevel="0" collapsed="false">
      <c r="A321" s="41" t="s">
        <v>799</v>
      </c>
      <c r="B321" s="42" t="s">
        <v>35</v>
      </c>
      <c r="C321" s="42" t="n">
        <v>3</v>
      </c>
      <c r="D321" s="42" t="n">
        <v>318</v>
      </c>
      <c r="E321" s="42" t="n">
        <v>93</v>
      </c>
      <c r="F321" s="42" t="s">
        <v>751</v>
      </c>
      <c r="G321" s="42"/>
      <c r="H321" s="43" t="s">
        <v>800</v>
      </c>
      <c r="I321" s="42" t="n">
        <v>125</v>
      </c>
      <c r="J321" s="42" t="n">
        <v>268</v>
      </c>
      <c r="K321" s="42" t="n">
        <v>51</v>
      </c>
      <c r="L321" s="41" t="s">
        <v>159</v>
      </c>
      <c r="M321" s="41" t="s">
        <v>507</v>
      </c>
      <c r="N321" s="43" t="s">
        <v>801</v>
      </c>
      <c r="O321" s="44" t="n">
        <v>1</v>
      </c>
      <c r="P321" s="26" t="s">
        <v>28</v>
      </c>
      <c r="Q321" s="27"/>
    </row>
    <row r="322" customFormat="false" ht="44" hidden="false" customHeight="false" outlineLevel="0" collapsed="false">
      <c r="A322" s="41" t="s">
        <v>802</v>
      </c>
      <c r="B322" s="42" t="s">
        <v>35</v>
      </c>
      <c r="C322" s="42" t="n">
        <v>3</v>
      </c>
      <c r="D322" s="42" t="n">
        <v>318</v>
      </c>
      <c r="E322" s="42" t="n">
        <v>93</v>
      </c>
      <c r="F322" s="42" t="s">
        <v>751</v>
      </c>
      <c r="G322" s="42"/>
      <c r="H322" s="43" t="s">
        <v>803</v>
      </c>
      <c r="I322" s="42" t="n">
        <v>130</v>
      </c>
      <c r="J322" s="42" t="n">
        <v>276</v>
      </c>
      <c r="K322" s="42" t="n">
        <v>52</v>
      </c>
      <c r="L322" s="41" t="s">
        <v>159</v>
      </c>
      <c r="M322" s="41" t="s">
        <v>507</v>
      </c>
      <c r="N322" s="43" t="s">
        <v>801</v>
      </c>
      <c r="O322" s="44" t="n">
        <v>1</v>
      </c>
      <c r="P322" s="26" t="s">
        <v>28</v>
      </c>
      <c r="Q322" s="27"/>
    </row>
    <row r="323" customFormat="false" ht="44" hidden="false" customHeight="false" outlineLevel="0" collapsed="false">
      <c r="A323" s="41" t="s">
        <v>804</v>
      </c>
      <c r="B323" s="42" t="s">
        <v>35</v>
      </c>
      <c r="C323" s="42" t="n">
        <v>3</v>
      </c>
      <c r="D323" s="42" t="n">
        <v>318</v>
      </c>
      <c r="E323" s="42" t="n">
        <v>93</v>
      </c>
      <c r="F323" s="42" t="s">
        <v>751</v>
      </c>
      <c r="G323" s="42"/>
      <c r="H323" s="43" t="s">
        <v>805</v>
      </c>
      <c r="I323" s="42" t="n">
        <v>136</v>
      </c>
      <c r="J323" s="42" t="n">
        <v>292</v>
      </c>
      <c r="K323" s="42" t="n">
        <v>55</v>
      </c>
      <c r="L323" s="41" t="s">
        <v>179</v>
      </c>
      <c r="M323" s="41" t="s">
        <v>806</v>
      </c>
      <c r="N323" s="43" t="s">
        <v>807</v>
      </c>
      <c r="O323" s="44" t="n">
        <v>1</v>
      </c>
      <c r="P323" s="26" t="s">
        <v>28</v>
      </c>
      <c r="Q323" s="27"/>
    </row>
    <row r="324" customFormat="false" ht="44" hidden="false" customHeight="false" outlineLevel="0" collapsed="false">
      <c r="A324" s="41" t="s">
        <v>808</v>
      </c>
      <c r="B324" s="42" t="s">
        <v>35</v>
      </c>
      <c r="C324" s="42" t="n">
        <v>3</v>
      </c>
      <c r="D324" s="42" t="n">
        <v>318</v>
      </c>
      <c r="E324" s="42" t="n">
        <v>93</v>
      </c>
      <c r="F324" s="42" t="s">
        <v>751</v>
      </c>
      <c r="G324" s="42"/>
      <c r="H324" s="43" t="s">
        <v>809</v>
      </c>
      <c r="I324" s="42" t="n">
        <v>141</v>
      </c>
      <c r="J324" s="42" t="n">
        <v>296</v>
      </c>
      <c r="K324" s="42" t="n">
        <v>56</v>
      </c>
      <c r="L324" s="41" t="s">
        <v>159</v>
      </c>
      <c r="M324" s="41" t="s">
        <v>577</v>
      </c>
      <c r="N324" s="43"/>
      <c r="O324" s="44" t="n">
        <v>1</v>
      </c>
      <c r="P324" s="26" t="s">
        <v>28</v>
      </c>
      <c r="Q324" s="27"/>
    </row>
    <row r="325" customFormat="false" ht="44" hidden="false" customHeight="false" outlineLevel="0" collapsed="false">
      <c r="A325" s="41" t="s">
        <v>810</v>
      </c>
      <c r="B325" s="42" t="s">
        <v>35</v>
      </c>
      <c r="C325" s="42" t="n">
        <v>3</v>
      </c>
      <c r="D325" s="42" t="n">
        <v>318</v>
      </c>
      <c r="E325" s="42" t="n">
        <v>93</v>
      </c>
      <c r="F325" s="42" t="s">
        <v>751</v>
      </c>
      <c r="G325" s="42"/>
      <c r="H325" s="43" t="s">
        <v>811</v>
      </c>
      <c r="I325" s="42" t="n">
        <v>148</v>
      </c>
      <c r="J325" s="42" t="n">
        <v>310</v>
      </c>
      <c r="K325" s="42" t="n">
        <v>58</v>
      </c>
      <c r="L325" s="41" t="s">
        <v>152</v>
      </c>
      <c r="M325" s="41" t="s">
        <v>153</v>
      </c>
      <c r="N325" s="43"/>
      <c r="O325" s="44" t="n">
        <v>1</v>
      </c>
      <c r="P325" s="26" t="s">
        <v>28</v>
      </c>
      <c r="Q325" s="27"/>
    </row>
    <row r="326" customFormat="false" ht="44" hidden="false" customHeight="false" outlineLevel="0" collapsed="false">
      <c r="A326" s="41" t="s">
        <v>812</v>
      </c>
      <c r="B326" s="42" t="s">
        <v>35</v>
      </c>
      <c r="C326" s="42" t="n">
        <v>4</v>
      </c>
      <c r="D326" s="42" t="n">
        <v>329</v>
      </c>
      <c r="E326" s="42" t="n">
        <v>93</v>
      </c>
      <c r="F326" s="42" t="s">
        <v>751</v>
      </c>
      <c r="G326" s="42"/>
      <c r="H326" s="43" t="s">
        <v>813</v>
      </c>
      <c r="I326" s="42" t="n">
        <v>149</v>
      </c>
      <c r="J326" s="42" t="n">
        <v>312</v>
      </c>
      <c r="K326" s="42" t="n">
        <v>57</v>
      </c>
      <c r="L326" s="41" t="s">
        <v>159</v>
      </c>
      <c r="M326" s="41" t="s">
        <v>814</v>
      </c>
      <c r="N326" s="43" t="s">
        <v>815</v>
      </c>
      <c r="O326" s="44" t="n">
        <v>1</v>
      </c>
      <c r="P326" s="26" t="s">
        <v>28</v>
      </c>
      <c r="Q326" s="27"/>
    </row>
    <row r="327" customFormat="false" ht="44" hidden="false" customHeight="false" outlineLevel="0" collapsed="false">
      <c r="A327" s="41" t="s">
        <v>816</v>
      </c>
      <c r="B327" s="42" t="s">
        <v>35</v>
      </c>
      <c r="C327" s="42" t="n">
        <v>4</v>
      </c>
      <c r="D327" s="42" t="n">
        <v>329</v>
      </c>
      <c r="E327" s="42" t="n">
        <v>93</v>
      </c>
      <c r="F327" s="42" t="s">
        <v>751</v>
      </c>
      <c r="G327" s="42"/>
      <c r="H327" s="43" t="s">
        <v>817</v>
      </c>
      <c r="I327" s="42" t="n">
        <v>150</v>
      </c>
      <c r="J327" s="42" t="n">
        <v>314</v>
      </c>
      <c r="K327" s="42" t="n">
        <v>57</v>
      </c>
      <c r="L327" s="41" t="s">
        <v>159</v>
      </c>
      <c r="M327" s="41" t="s">
        <v>731</v>
      </c>
      <c r="N327" s="43" t="s">
        <v>818</v>
      </c>
      <c r="O327" s="44" t="n">
        <v>1</v>
      </c>
      <c r="P327" s="26" t="s">
        <v>28</v>
      </c>
      <c r="Q327" s="27"/>
    </row>
    <row r="328" customFormat="false" ht="58.2" hidden="false" customHeight="false" outlineLevel="0" collapsed="false">
      <c r="A328" s="41" t="s">
        <v>819</v>
      </c>
      <c r="B328" s="42" t="s">
        <v>35</v>
      </c>
      <c r="C328" s="42" t="n">
        <v>4</v>
      </c>
      <c r="D328" s="42" t="n">
        <v>329</v>
      </c>
      <c r="E328" s="42" t="n">
        <v>93</v>
      </c>
      <c r="F328" s="42" t="s">
        <v>751</v>
      </c>
      <c r="G328" s="42"/>
      <c r="H328" s="43" t="s">
        <v>820</v>
      </c>
      <c r="I328" s="42" t="n">
        <v>160</v>
      </c>
      <c r="J328" s="42" t="n">
        <v>335</v>
      </c>
      <c r="K328" s="42" t="n">
        <v>61</v>
      </c>
      <c r="L328" s="41" t="s">
        <v>152</v>
      </c>
      <c r="M328" s="41" t="s">
        <v>821</v>
      </c>
      <c r="N328" s="43"/>
      <c r="O328" s="44" t="n">
        <v>1</v>
      </c>
      <c r="P328" s="26" t="s">
        <v>28</v>
      </c>
      <c r="Q328" s="27"/>
    </row>
    <row r="329" customFormat="false" ht="58.2" hidden="false" customHeight="false" outlineLevel="0" collapsed="false">
      <c r="A329" s="41" t="s">
        <v>822</v>
      </c>
      <c r="B329" s="42" t="s">
        <v>35</v>
      </c>
      <c r="C329" s="42" t="n">
        <v>4</v>
      </c>
      <c r="D329" s="42" t="n">
        <v>329</v>
      </c>
      <c r="E329" s="42" t="n">
        <v>93</v>
      </c>
      <c r="F329" s="42" t="s">
        <v>751</v>
      </c>
      <c r="G329" s="42"/>
      <c r="H329" s="43" t="s">
        <v>823</v>
      </c>
      <c r="I329" s="42" t="n">
        <v>172</v>
      </c>
      <c r="J329" s="42" t="n">
        <v>351</v>
      </c>
      <c r="K329" s="42" t="n">
        <v>64</v>
      </c>
      <c r="L329" s="41" t="s">
        <v>179</v>
      </c>
      <c r="M329" s="41" t="s">
        <v>824</v>
      </c>
      <c r="N329" s="43" t="s">
        <v>763</v>
      </c>
      <c r="O329" s="44" t="n">
        <v>1</v>
      </c>
      <c r="P329" s="26" t="s">
        <v>28</v>
      </c>
      <c r="Q329" s="27"/>
    </row>
    <row r="330" customFormat="false" ht="58.2" hidden="false" customHeight="false" outlineLevel="0" collapsed="false">
      <c r="A330" s="41" t="s">
        <v>825</v>
      </c>
      <c r="B330" s="42" t="s">
        <v>35</v>
      </c>
      <c r="C330" s="42" t="n">
        <v>4</v>
      </c>
      <c r="D330" s="42" t="n">
        <v>329</v>
      </c>
      <c r="E330" s="42" t="n">
        <v>93</v>
      </c>
      <c r="F330" s="42" t="s">
        <v>751</v>
      </c>
      <c r="G330" s="42"/>
      <c r="H330" s="43" t="s">
        <v>826</v>
      </c>
      <c r="I330" s="42" t="n">
        <v>165</v>
      </c>
      <c r="J330" s="42" t="n">
        <v>357</v>
      </c>
      <c r="K330" s="42" t="n">
        <v>65</v>
      </c>
      <c r="L330" s="41" t="s">
        <v>152</v>
      </c>
      <c r="M330" s="41" t="s">
        <v>827</v>
      </c>
      <c r="N330" s="43"/>
      <c r="O330" s="44" t="n">
        <v>1</v>
      </c>
      <c r="P330" s="26" t="s">
        <v>28</v>
      </c>
      <c r="Q330" s="27"/>
    </row>
    <row r="331" customFormat="false" ht="58.2" hidden="false" customHeight="false" outlineLevel="0" collapsed="false">
      <c r="A331" s="41" t="s">
        <v>828</v>
      </c>
      <c r="B331" s="42" t="s">
        <v>35</v>
      </c>
      <c r="C331" s="42" t="n">
        <v>4</v>
      </c>
      <c r="D331" s="42" t="n">
        <v>329</v>
      </c>
      <c r="E331" s="42" t="n">
        <v>93</v>
      </c>
      <c r="F331" s="42" t="s">
        <v>751</v>
      </c>
      <c r="G331" s="42"/>
      <c r="H331" s="43" t="s">
        <v>829</v>
      </c>
      <c r="I331" s="42" t="n">
        <v>179</v>
      </c>
      <c r="J331" s="42" t="n">
        <v>386</v>
      </c>
      <c r="K331" s="42" t="n">
        <v>70</v>
      </c>
      <c r="L331" s="41" t="s">
        <v>186</v>
      </c>
      <c r="M331" s="41" t="s">
        <v>830</v>
      </c>
      <c r="N331" s="43"/>
      <c r="O331" s="44" t="n">
        <v>1</v>
      </c>
      <c r="P331" s="26" t="s">
        <v>28</v>
      </c>
      <c r="Q331" s="27"/>
    </row>
    <row r="332" customFormat="false" ht="58.2" hidden="false" customHeight="false" outlineLevel="0" collapsed="false">
      <c r="A332" s="41" t="s">
        <v>831</v>
      </c>
      <c r="B332" s="42" t="s">
        <v>35</v>
      </c>
      <c r="C332" s="42" t="n">
        <v>4</v>
      </c>
      <c r="D332" s="42" t="n">
        <v>329</v>
      </c>
      <c r="E332" s="42" t="n">
        <v>93</v>
      </c>
      <c r="F332" s="42" t="s">
        <v>751</v>
      </c>
      <c r="G332" s="42"/>
      <c r="H332" s="43" t="s">
        <v>832</v>
      </c>
      <c r="I332" s="42" t="n">
        <v>190</v>
      </c>
      <c r="J332" s="42" t="n">
        <v>388</v>
      </c>
      <c r="K332" s="42" t="n">
        <v>71</v>
      </c>
      <c r="L332" s="41" t="s">
        <v>179</v>
      </c>
      <c r="M332" s="41" t="s">
        <v>425</v>
      </c>
      <c r="N332" s="43" t="s">
        <v>801</v>
      </c>
      <c r="O332" s="44" t="n">
        <v>1</v>
      </c>
      <c r="P332" s="26" t="s">
        <v>28</v>
      </c>
      <c r="Q332" s="27"/>
    </row>
    <row r="333" customFormat="false" ht="58.2" hidden="false" customHeight="false" outlineLevel="0" collapsed="false">
      <c r="A333" s="41" t="s">
        <v>833</v>
      </c>
      <c r="B333" s="42" t="s">
        <v>35</v>
      </c>
      <c r="C333" s="42" t="n">
        <v>5</v>
      </c>
      <c r="D333" s="42" t="n">
        <v>340</v>
      </c>
      <c r="E333" s="42" t="n">
        <v>93</v>
      </c>
      <c r="F333" s="42" t="s">
        <v>751</v>
      </c>
      <c r="G333" s="42"/>
      <c r="H333" s="43" t="s">
        <v>834</v>
      </c>
      <c r="I333" s="42" t="n">
        <v>185</v>
      </c>
      <c r="J333" s="42" t="n">
        <v>400</v>
      </c>
      <c r="K333" s="42" t="n">
        <v>71</v>
      </c>
      <c r="L333" s="41" t="s">
        <v>166</v>
      </c>
      <c r="M333" s="41" t="s">
        <v>281</v>
      </c>
      <c r="N333" s="43" t="s">
        <v>763</v>
      </c>
      <c r="O333" s="44" t="n">
        <v>1</v>
      </c>
      <c r="P333" s="26" t="s">
        <v>28</v>
      </c>
      <c r="Q333" s="27"/>
    </row>
    <row r="334" customFormat="false" ht="58.2" hidden="false" customHeight="false" outlineLevel="0" collapsed="false">
      <c r="A334" s="41" t="s">
        <v>835</v>
      </c>
      <c r="B334" s="42" t="s">
        <v>35</v>
      </c>
      <c r="C334" s="42" t="n">
        <v>5</v>
      </c>
      <c r="D334" s="42" t="n">
        <v>340</v>
      </c>
      <c r="E334" s="42" t="n">
        <v>93</v>
      </c>
      <c r="F334" s="42" t="s">
        <v>751</v>
      </c>
      <c r="G334" s="42"/>
      <c r="H334" s="43" t="s">
        <v>836</v>
      </c>
      <c r="I334" s="42" t="n">
        <v>189</v>
      </c>
      <c r="J334" s="42" t="n">
        <v>403</v>
      </c>
      <c r="K334" s="42" t="n">
        <v>71</v>
      </c>
      <c r="L334" s="41" t="s">
        <v>152</v>
      </c>
      <c r="M334" s="41" t="s">
        <v>329</v>
      </c>
      <c r="N334" s="43"/>
      <c r="O334" s="44" t="n">
        <v>1</v>
      </c>
      <c r="P334" s="26" t="s">
        <v>28</v>
      </c>
      <c r="Q334" s="27"/>
    </row>
    <row r="335" customFormat="false" ht="58.2" hidden="false" customHeight="false" outlineLevel="0" collapsed="false">
      <c r="A335" s="41" t="s">
        <v>837</v>
      </c>
      <c r="B335" s="42" t="s">
        <v>35</v>
      </c>
      <c r="C335" s="42" t="n">
        <v>5</v>
      </c>
      <c r="D335" s="42" t="n">
        <v>340</v>
      </c>
      <c r="E335" s="42" t="n">
        <v>93</v>
      </c>
      <c r="F335" s="42" t="s">
        <v>751</v>
      </c>
      <c r="G335" s="42"/>
      <c r="H335" s="43" t="s">
        <v>838</v>
      </c>
      <c r="I335" s="42" t="n">
        <v>188</v>
      </c>
      <c r="J335" s="42" t="n">
        <v>405</v>
      </c>
      <c r="K335" s="42" t="n">
        <v>71</v>
      </c>
      <c r="L335" s="41" t="s">
        <v>166</v>
      </c>
      <c r="M335" s="41" t="s">
        <v>167</v>
      </c>
      <c r="N335" s="43"/>
      <c r="O335" s="44" t="n">
        <v>1</v>
      </c>
      <c r="P335" s="26" t="s">
        <v>28</v>
      </c>
      <c r="Q335" s="27"/>
    </row>
    <row r="336" customFormat="false" ht="58.2" hidden="false" customHeight="false" outlineLevel="0" collapsed="false">
      <c r="A336" s="41" t="s">
        <v>839</v>
      </c>
      <c r="B336" s="42" t="s">
        <v>35</v>
      </c>
      <c r="C336" s="42" t="n">
        <v>5</v>
      </c>
      <c r="D336" s="42" t="n">
        <v>340</v>
      </c>
      <c r="E336" s="42" t="n">
        <v>93</v>
      </c>
      <c r="F336" s="42" t="s">
        <v>751</v>
      </c>
      <c r="G336" s="42"/>
      <c r="H336" s="43" t="s">
        <v>840</v>
      </c>
      <c r="I336" s="42" t="n">
        <v>195</v>
      </c>
      <c r="J336" s="42" t="n">
        <v>409</v>
      </c>
      <c r="K336" s="42" t="n">
        <v>72</v>
      </c>
      <c r="L336" s="41" t="s">
        <v>159</v>
      </c>
      <c r="M336" s="41" t="s">
        <v>814</v>
      </c>
      <c r="N336" s="43" t="s">
        <v>815</v>
      </c>
      <c r="O336" s="44" t="n">
        <v>1</v>
      </c>
      <c r="P336" s="26" t="s">
        <v>28</v>
      </c>
      <c r="Q336" s="27"/>
    </row>
    <row r="337" customFormat="false" ht="58.2" hidden="false" customHeight="false" outlineLevel="0" collapsed="false">
      <c r="A337" s="41" t="s">
        <v>841</v>
      </c>
      <c r="B337" s="42" t="s">
        <v>35</v>
      </c>
      <c r="C337" s="42" t="n">
        <v>5</v>
      </c>
      <c r="D337" s="42" t="n">
        <v>340</v>
      </c>
      <c r="E337" s="42" t="n">
        <v>93</v>
      </c>
      <c r="F337" s="42" t="s">
        <v>751</v>
      </c>
      <c r="G337" s="42"/>
      <c r="H337" s="43" t="s">
        <v>842</v>
      </c>
      <c r="I337" s="42" t="n">
        <v>197</v>
      </c>
      <c r="J337" s="42" t="n">
        <v>410</v>
      </c>
      <c r="K337" s="42" t="n">
        <v>72</v>
      </c>
      <c r="L337" s="41" t="s">
        <v>179</v>
      </c>
      <c r="M337" s="41" t="s">
        <v>843</v>
      </c>
      <c r="N337" s="43" t="s">
        <v>844</v>
      </c>
      <c r="O337" s="44" t="n">
        <v>0.993</v>
      </c>
      <c r="P337" s="26" t="s">
        <v>28</v>
      </c>
      <c r="Q337" s="27"/>
    </row>
    <row r="338" customFormat="false" ht="58.2" hidden="false" customHeight="false" outlineLevel="0" collapsed="false">
      <c r="A338" s="41" t="s">
        <v>845</v>
      </c>
      <c r="B338" s="42" t="s">
        <v>35</v>
      </c>
      <c r="C338" s="42" t="n">
        <v>5</v>
      </c>
      <c r="D338" s="42" t="n">
        <v>340</v>
      </c>
      <c r="E338" s="42" t="n">
        <v>93</v>
      </c>
      <c r="F338" s="42" t="s">
        <v>751</v>
      </c>
      <c r="G338" s="42"/>
      <c r="H338" s="43" t="s">
        <v>846</v>
      </c>
      <c r="I338" s="42" t="n">
        <v>195</v>
      </c>
      <c r="J338" s="42" t="n">
        <v>415</v>
      </c>
      <c r="K338" s="42" t="n">
        <v>73</v>
      </c>
      <c r="L338" s="41" t="s">
        <v>159</v>
      </c>
      <c r="M338" s="41" t="s">
        <v>507</v>
      </c>
      <c r="N338" s="43"/>
      <c r="O338" s="44" t="n">
        <v>1</v>
      </c>
      <c r="P338" s="26" t="s">
        <v>28</v>
      </c>
      <c r="Q338" s="27"/>
    </row>
    <row r="339" customFormat="false" ht="58.2" hidden="false" customHeight="false" outlineLevel="0" collapsed="false">
      <c r="A339" s="41" t="s">
        <v>847</v>
      </c>
      <c r="B339" s="42" t="s">
        <v>35</v>
      </c>
      <c r="C339" s="42" t="n">
        <v>5</v>
      </c>
      <c r="D339" s="42" t="n">
        <v>340</v>
      </c>
      <c r="E339" s="42" t="n">
        <v>93</v>
      </c>
      <c r="F339" s="42" t="s">
        <v>751</v>
      </c>
      <c r="G339" s="42"/>
      <c r="H339" s="43" t="s">
        <v>848</v>
      </c>
      <c r="I339" s="42" t="n">
        <v>196</v>
      </c>
      <c r="J339" s="42" t="n">
        <v>429</v>
      </c>
      <c r="K339" s="42" t="n">
        <v>76</v>
      </c>
      <c r="L339" s="41" t="s">
        <v>152</v>
      </c>
      <c r="M339" s="41" t="s">
        <v>190</v>
      </c>
      <c r="N339" s="43"/>
      <c r="O339" s="44" t="n">
        <v>1</v>
      </c>
      <c r="P339" s="26" t="s">
        <v>28</v>
      </c>
      <c r="Q339" s="27"/>
    </row>
    <row r="340" customFormat="false" ht="72.35" hidden="false" customHeight="false" outlineLevel="0" collapsed="false">
      <c r="A340" s="41" t="s">
        <v>849</v>
      </c>
      <c r="B340" s="42" t="s">
        <v>35</v>
      </c>
      <c r="C340" s="42" t="n">
        <v>5</v>
      </c>
      <c r="D340" s="42" t="n">
        <v>340</v>
      </c>
      <c r="E340" s="42" t="n">
        <v>93</v>
      </c>
      <c r="F340" s="42" t="s">
        <v>751</v>
      </c>
      <c r="G340" s="42"/>
      <c r="H340" s="43" t="s">
        <v>850</v>
      </c>
      <c r="I340" s="42" t="n">
        <v>230</v>
      </c>
      <c r="J340" s="42" t="n">
        <v>474</v>
      </c>
      <c r="K340" s="42" t="n">
        <v>84</v>
      </c>
      <c r="L340" s="41" t="s">
        <v>179</v>
      </c>
      <c r="M340" s="41" t="s">
        <v>405</v>
      </c>
      <c r="N340" s="43"/>
      <c r="O340" s="44" t="n">
        <v>1</v>
      </c>
      <c r="P340" s="26" t="s">
        <v>28</v>
      </c>
      <c r="Q340" s="27"/>
    </row>
    <row r="341" customFormat="false" ht="72.35" hidden="false" customHeight="false" outlineLevel="0" collapsed="false">
      <c r="A341" s="45" t="s">
        <v>851</v>
      </c>
      <c r="B341" s="46" t="s">
        <v>36</v>
      </c>
      <c r="C341" s="46" t="n">
        <v>1</v>
      </c>
      <c r="D341" s="46" t="n">
        <v>355</v>
      </c>
      <c r="E341" s="46" t="n">
        <v>95</v>
      </c>
      <c r="F341" s="46" t="s">
        <v>852</v>
      </c>
      <c r="G341" s="46" t="s">
        <v>853</v>
      </c>
      <c r="H341" s="47" t="s">
        <v>854</v>
      </c>
      <c r="I341" s="46" t="n">
        <v>227</v>
      </c>
      <c r="J341" s="46" t="n">
        <v>468</v>
      </c>
      <c r="K341" s="46" t="n">
        <v>79</v>
      </c>
      <c r="L341" s="45" t="s">
        <v>159</v>
      </c>
      <c r="M341" s="45" t="s">
        <v>855</v>
      </c>
      <c r="N341" s="47"/>
      <c r="O341" s="48" t="n">
        <v>1</v>
      </c>
      <c r="P341" s="26" t="s">
        <v>28</v>
      </c>
      <c r="Q341" s="27"/>
    </row>
    <row r="342" customFormat="false" ht="72.35" hidden="false" customHeight="false" outlineLevel="0" collapsed="false">
      <c r="A342" s="45" t="s">
        <v>856</v>
      </c>
      <c r="B342" s="46" t="s">
        <v>36</v>
      </c>
      <c r="C342" s="46" t="n">
        <v>1</v>
      </c>
      <c r="D342" s="46" t="n">
        <v>355</v>
      </c>
      <c r="E342" s="46" t="n">
        <v>95</v>
      </c>
      <c r="F342" s="46" t="s">
        <v>852</v>
      </c>
      <c r="G342" s="46" t="s">
        <v>857</v>
      </c>
      <c r="H342" s="47" t="s">
        <v>858</v>
      </c>
      <c r="I342" s="46" t="n">
        <v>223</v>
      </c>
      <c r="J342" s="46" t="n">
        <v>477</v>
      </c>
      <c r="K342" s="46" t="n">
        <v>81</v>
      </c>
      <c r="L342" s="45" t="s">
        <v>186</v>
      </c>
      <c r="M342" s="45" t="s">
        <v>495</v>
      </c>
      <c r="N342" s="47"/>
      <c r="O342" s="48" t="n">
        <v>1</v>
      </c>
      <c r="P342" s="26" t="s">
        <v>28</v>
      </c>
      <c r="Q342" s="27"/>
    </row>
    <row r="343" customFormat="false" ht="72.35" hidden="false" customHeight="false" outlineLevel="0" collapsed="false">
      <c r="A343" s="45" t="s">
        <v>859</v>
      </c>
      <c r="B343" s="46" t="s">
        <v>36</v>
      </c>
      <c r="C343" s="46" t="n">
        <v>1</v>
      </c>
      <c r="D343" s="46" t="n">
        <v>355</v>
      </c>
      <c r="E343" s="46" t="n">
        <v>95</v>
      </c>
      <c r="F343" s="46" t="s">
        <v>852</v>
      </c>
      <c r="G343" s="46" t="s">
        <v>860</v>
      </c>
      <c r="H343" s="47" t="s">
        <v>861</v>
      </c>
      <c r="I343" s="46" t="n">
        <v>254</v>
      </c>
      <c r="J343" s="46" t="n">
        <v>509</v>
      </c>
      <c r="K343" s="46" t="n">
        <v>86</v>
      </c>
      <c r="L343" s="45" t="s">
        <v>179</v>
      </c>
      <c r="M343" s="45" t="s">
        <v>862</v>
      </c>
      <c r="N343" s="47"/>
      <c r="O343" s="48" t="n">
        <v>1</v>
      </c>
      <c r="P343" s="26" t="s">
        <v>28</v>
      </c>
      <c r="Q343" s="27"/>
    </row>
    <row r="344" customFormat="false" ht="72.35" hidden="false" customHeight="false" outlineLevel="0" collapsed="false">
      <c r="A344" s="45" t="s">
        <v>863</v>
      </c>
      <c r="B344" s="46" t="s">
        <v>36</v>
      </c>
      <c r="C344" s="46" t="n">
        <v>1</v>
      </c>
      <c r="D344" s="46" t="n">
        <v>355</v>
      </c>
      <c r="E344" s="46" t="n">
        <v>95</v>
      </c>
      <c r="F344" s="46" t="s">
        <v>852</v>
      </c>
      <c r="G344" s="46" t="s">
        <v>864</v>
      </c>
      <c r="H344" s="47" t="s">
        <v>865</v>
      </c>
      <c r="I344" s="46" t="n">
        <v>242</v>
      </c>
      <c r="J344" s="46" t="n">
        <v>513</v>
      </c>
      <c r="K344" s="46" t="n">
        <v>87</v>
      </c>
      <c r="L344" s="45" t="s">
        <v>152</v>
      </c>
      <c r="M344" s="45" t="s">
        <v>866</v>
      </c>
      <c r="N344" s="47"/>
      <c r="O344" s="48" t="n">
        <v>1</v>
      </c>
      <c r="P344" s="26" t="s">
        <v>28</v>
      </c>
      <c r="Q344" s="27"/>
    </row>
    <row r="345" customFormat="false" ht="72.35" hidden="false" customHeight="false" outlineLevel="0" collapsed="false">
      <c r="A345" s="45" t="s">
        <v>867</v>
      </c>
      <c r="B345" s="46" t="s">
        <v>36</v>
      </c>
      <c r="C345" s="46" t="n">
        <v>1</v>
      </c>
      <c r="D345" s="46" t="n">
        <v>355</v>
      </c>
      <c r="E345" s="46" t="n">
        <v>95</v>
      </c>
      <c r="F345" s="46" t="s">
        <v>852</v>
      </c>
      <c r="G345" s="46" t="s">
        <v>378</v>
      </c>
      <c r="H345" s="47" t="s">
        <v>868</v>
      </c>
      <c r="I345" s="46" t="n">
        <v>249</v>
      </c>
      <c r="J345" s="46" t="n">
        <v>525</v>
      </c>
      <c r="K345" s="46" t="n">
        <v>89</v>
      </c>
      <c r="L345" s="45" t="s">
        <v>159</v>
      </c>
      <c r="M345" s="45" t="s">
        <v>302</v>
      </c>
      <c r="N345" s="47" t="s">
        <v>815</v>
      </c>
      <c r="O345" s="48" t="n">
        <v>1</v>
      </c>
      <c r="P345" s="26" t="s">
        <v>28</v>
      </c>
      <c r="Q345" s="27"/>
    </row>
    <row r="346" customFormat="false" ht="72.35" hidden="false" customHeight="false" outlineLevel="0" collapsed="false">
      <c r="A346" s="45" t="s">
        <v>869</v>
      </c>
      <c r="B346" s="46" t="s">
        <v>36</v>
      </c>
      <c r="C346" s="46" t="n">
        <v>1</v>
      </c>
      <c r="D346" s="46" t="n">
        <v>355</v>
      </c>
      <c r="E346" s="46" t="n">
        <v>95</v>
      </c>
      <c r="F346" s="46" t="s">
        <v>852</v>
      </c>
      <c r="G346" s="46" t="s">
        <v>870</v>
      </c>
      <c r="H346" s="47" t="s">
        <v>871</v>
      </c>
      <c r="I346" s="46" t="n">
        <v>245</v>
      </c>
      <c r="J346" s="46" t="n">
        <v>526</v>
      </c>
      <c r="K346" s="46" t="n">
        <v>89</v>
      </c>
      <c r="L346" s="45" t="s">
        <v>186</v>
      </c>
      <c r="M346" s="45" t="s">
        <v>872</v>
      </c>
      <c r="N346" s="47" t="s">
        <v>873</v>
      </c>
      <c r="O346" s="48" t="n">
        <v>1</v>
      </c>
      <c r="P346" s="26" t="s">
        <v>28</v>
      </c>
      <c r="Q346" s="27"/>
    </row>
    <row r="347" customFormat="false" ht="86.55" hidden="false" customHeight="false" outlineLevel="0" collapsed="false">
      <c r="A347" s="45" t="s">
        <v>874</v>
      </c>
      <c r="B347" s="46" t="s">
        <v>36</v>
      </c>
      <c r="C347" s="46" t="n">
        <v>2</v>
      </c>
      <c r="D347" s="46" t="n">
        <v>366</v>
      </c>
      <c r="E347" s="46" t="n">
        <v>95</v>
      </c>
      <c r="F347" s="46" t="s">
        <v>852</v>
      </c>
      <c r="G347" s="46" t="s">
        <v>875</v>
      </c>
      <c r="H347" s="47" t="s">
        <v>876</v>
      </c>
      <c r="I347" s="46" t="n">
        <v>253</v>
      </c>
      <c r="J347" s="46" t="n">
        <v>536</v>
      </c>
      <c r="K347" s="46" t="n">
        <v>88</v>
      </c>
      <c r="L347" s="45" t="s">
        <v>166</v>
      </c>
      <c r="M347" s="45" t="s">
        <v>877</v>
      </c>
      <c r="N347" s="47" t="s">
        <v>815</v>
      </c>
      <c r="O347" s="48" t="n">
        <v>1</v>
      </c>
      <c r="P347" s="26" t="s">
        <v>28</v>
      </c>
      <c r="Q347" s="27"/>
    </row>
    <row r="348" customFormat="false" ht="86.55" hidden="false" customHeight="false" outlineLevel="0" collapsed="false">
      <c r="A348" s="45" t="s">
        <v>878</v>
      </c>
      <c r="B348" s="46" t="s">
        <v>36</v>
      </c>
      <c r="C348" s="46" t="n">
        <v>2</v>
      </c>
      <c r="D348" s="46" t="n">
        <v>366</v>
      </c>
      <c r="E348" s="46" t="n">
        <v>95</v>
      </c>
      <c r="F348" s="46" t="s">
        <v>852</v>
      </c>
      <c r="G348" s="46" t="s">
        <v>879</v>
      </c>
      <c r="H348" s="47" t="s">
        <v>880</v>
      </c>
      <c r="I348" s="46" t="n">
        <v>264</v>
      </c>
      <c r="J348" s="46" t="n">
        <v>547</v>
      </c>
      <c r="K348" s="46" t="n">
        <v>90</v>
      </c>
      <c r="L348" s="45" t="s">
        <v>159</v>
      </c>
      <c r="M348" s="45" t="s">
        <v>881</v>
      </c>
      <c r="N348" s="47" t="s">
        <v>763</v>
      </c>
      <c r="O348" s="48" t="n">
        <v>1</v>
      </c>
      <c r="P348" s="26" t="s">
        <v>28</v>
      </c>
      <c r="Q348" s="27"/>
    </row>
    <row r="349" customFormat="false" ht="72.35" hidden="false" customHeight="false" outlineLevel="0" collapsed="false">
      <c r="A349" s="45" t="s">
        <v>882</v>
      </c>
      <c r="B349" s="46" t="s">
        <v>36</v>
      </c>
      <c r="C349" s="46" t="n">
        <v>2</v>
      </c>
      <c r="D349" s="46" t="n">
        <v>366</v>
      </c>
      <c r="E349" s="46" t="n">
        <v>95</v>
      </c>
      <c r="F349" s="46" t="s">
        <v>852</v>
      </c>
      <c r="G349" s="46" t="s">
        <v>883</v>
      </c>
      <c r="H349" s="47" t="s">
        <v>884</v>
      </c>
      <c r="I349" s="46" t="n">
        <v>259</v>
      </c>
      <c r="J349" s="46" t="n">
        <v>549</v>
      </c>
      <c r="K349" s="46" t="n">
        <v>90</v>
      </c>
      <c r="L349" s="45" t="s">
        <v>159</v>
      </c>
      <c r="M349" s="45" t="s">
        <v>675</v>
      </c>
      <c r="N349" s="47" t="s">
        <v>801</v>
      </c>
      <c r="O349" s="48" t="n">
        <v>1</v>
      </c>
      <c r="P349" s="26" t="s">
        <v>28</v>
      </c>
      <c r="Q349" s="27"/>
    </row>
    <row r="350" customFormat="false" ht="86.55" hidden="false" customHeight="false" outlineLevel="0" collapsed="false">
      <c r="A350" s="45" t="s">
        <v>885</v>
      </c>
      <c r="B350" s="46" t="s">
        <v>36</v>
      </c>
      <c r="C350" s="46" t="n">
        <v>2</v>
      </c>
      <c r="D350" s="46" t="n">
        <v>366</v>
      </c>
      <c r="E350" s="46" t="n">
        <v>95</v>
      </c>
      <c r="F350" s="46" t="s">
        <v>852</v>
      </c>
      <c r="G350" s="46" t="s">
        <v>886</v>
      </c>
      <c r="H350" s="47" t="s">
        <v>887</v>
      </c>
      <c r="I350" s="46" t="n">
        <v>270</v>
      </c>
      <c r="J350" s="46" t="n">
        <v>553</v>
      </c>
      <c r="K350" s="46" t="n">
        <v>91</v>
      </c>
      <c r="L350" s="45" t="s">
        <v>159</v>
      </c>
      <c r="M350" s="45" t="s">
        <v>176</v>
      </c>
      <c r="N350" s="47" t="s">
        <v>763</v>
      </c>
      <c r="O350" s="48" t="n">
        <v>1</v>
      </c>
      <c r="P350" s="26" t="s">
        <v>28</v>
      </c>
      <c r="Q350" s="27"/>
    </row>
    <row r="351" customFormat="false" ht="86.55" hidden="false" customHeight="false" outlineLevel="0" collapsed="false">
      <c r="A351" s="45" t="s">
        <v>888</v>
      </c>
      <c r="B351" s="46" t="s">
        <v>36</v>
      </c>
      <c r="C351" s="46" t="n">
        <v>2</v>
      </c>
      <c r="D351" s="46" t="n">
        <v>366</v>
      </c>
      <c r="E351" s="46" t="n">
        <v>95</v>
      </c>
      <c r="F351" s="46" t="s">
        <v>852</v>
      </c>
      <c r="G351" s="46" t="s">
        <v>889</v>
      </c>
      <c r="H351" s="47" t="s">
        <v>890</v>
      </c>
      <c r="I351" s="46" t="n">
        <v>261</v>
      </c>
      <c r="J351" s="46" t="n">
        <v>564</v>
      </c>
      <c r="K351" s="46" t="n">
        <v>92</v>
      </c>
      <c r="L351" s="45" t="s">
        <v>186</v>
      </c>
      <c r="M351" s="45" t="s">
        <v>891</v>
      </c>
      <c r="N351" s="47" t="s">
        <v>892</v>
      </c>
      <c r="O351" s="48" t="n">
        <v>1</v>
      </c>
      <c r="P351" s="26" t="s">
        <v>28</v>
      </c>
      <c r="Q351" s="27"/>
    </row>
    <row r="352" customFormat="false" ht="86.55" hidden="false" customHeight="false" outlineLevel="0" collapsed="false">
      <c r="A352" s="45" t="s">
        <v>893</v>
      </c>
      <c r="B352" s="46" t="s">
        <v>36</v>
      </c>
      <c r="C352" s="46" t="n">
        <v>2</v>
      </c>
      <c r="D352" s="46" t="n">
        <v>366</v>
      </c>
      <c r="E352" s="46" t="n">
        <v>95</v>
      </c>
      <c r="F352" s="46" t="s">
        <v>852</v>
      </c>
      <c r="G352" s="46" t="s">
        <v>894</v>
      </c>
      <c r="H352" s="47" t="s">
        <v>895</v>
      </c>
      <c r="I352" s="46" t="n">
        <v>278</v>
      </c>
      <c r="J352" s="46" t="n">
        <v>593</v>
      </c>
      <c r="K352" s="46" t="n">
        <v>97</v>
      </c>
      <c r="L352" s="45" t="s">
        <v>152</v>
      </c>
      <c r="M352" s="45" t="s">
        <v>896</v>
      </c>
      <c r="N352" s="47" t="s">
        <v>897</v>
      </c>
      <c r="O352" s="48" t="n">
        <v>1</v>
      </c>
      <c r="P352" s="26" t="s">
        <v>28</v>
      </c>
      <c r="Q352" s="27"/>
    </row>
    <row r="353" customFormat="false" ht="86.55" hidden="false" customHeight="false" outlineLevel="0" collapsed="false">
      <c r="A353" s="45" t="s">
        <v>898</v>
      </c>
      <c r="B353" s="46" t="s">
        <v>36</v>
      </c>
      <c r="C353" s="46" t="n">
        <v>3</v>
      </c>
      <c r="D353" s="46" t="n">
        <v>378</v>
      </c>
      <c r="E353" s="46" t="n">
        <v>95</v>
      </c>
      <c r="F353" s="46" t="s">
        <v>852</v>
      </c>
      <c r="G353" s="46" t="s">
        <v>899</v>
      </c>
      <c r="H353" s="47" t="s">
        <v>900</v>
      </c>
      <c r="I353" s="46" t="n">
        <v>288</v>
      </c>
      <c r="J353" s="46" t="n">
        <v>595</v>
      </c>
      <c r="K353" s="46" t="n">
        <v>94</v>
      </c>
      <c r="L353" s="45" t="s">
        <v>159</v>
      </c>
      <c r="M353" s="45" t="s">
        <v>901</v>
      </c>
      <c r="N353" s="47"/>
      <c r="O353" s="48" t="n">
        <v>1</v>
      </c>
      <c r="P353" s="26" t="s">
        <v>28</v>
      </c>
      <c r="Q353" s="27"/>
    </row>
    <row r="354" customFormat="false" ht="86.55" hidden="false" customHeight="false" outlineLevel="0" collapsed="false">
      <c r="A354" s="45" t="s">
        <v>902</v>
      </c>
      <c r="B354" s="46" t="s">
        <v>36</v>
      </c>
      <c r="C354" s="46" t="n">
        <v>3</v>
      </c>
      <c r="D354" s="46" t="n">
        <v>378</v>
      </c>
      <c r="E354" s="46" t="n">
        <v>95</v>
      </c>
      <c r="F354" s="46" t="s">
        <v>852</v>
      </c>
      <c r="G354" s="46" t="s">
        <v>903</v>
      </c>
      <c r="H354" s="47" t="s">
        <v>904</v>
      </c>
      <c r="I354" s="46" t="n">
        <v>289</v>
      </c>
      <c r="J354" s="46" t="n">
        <v>606</v>
      </c>
      <c r="K354" s="46" t="n">
        <v>96</v>
      </c>
      <c r="L354" s="45" t="s">
        <v>166</v>
      </c>
      <c r="M354" s="45" t="s">
        <v>905</v>
      </c>
      <c r="N354" s="47" t="s">
        <v>897</v>
      </c>
      <c r="O354" s="48" t="n">
        <v>1</v>
      </c>
      <c r="P354" s="26" t="s">
        <v>28</v>
      </c>
      <c r="Q354" s="27"/>
    </row>
    <row r="355" customFormat="false" ht="86.55" hidden="false" customHeight="false" outlineLevel="0" collapsed="false">
      <c r="A355" s="45" t="s">
        <v>906</v>
      </c>
      <c r="B355" s="46" t="s">
        <v>36</v>
      </c>
      <c r="C355" s="46" t="n">
        <v>3</v>
      </c>
      <c r="D355" s="46" t="n">
        <v>378</v>
      </c>
      <c r="E355" s="46" t="n">
        <v>95</v>
      </c>
      <c r="F355" s="46" t="s">
        <v>852</v>
      </c>
      <c r="G355" s="46" t="s">
        <v>907</v>
      </c>
      <c r="H355" s="47" t="s">
        <v>908</v>
      </c>
      <c r="I355" s="46" t="n">
        <v>289</v>
      </c>
      <c r="J355" s="46" t="n">
        <v>607</v>
      </c>
      <c r="K355" s="46" t="n">
        <v>96</v>
      </c>
      <c r="L355" s="45" t="s">
        <v>179</v>
      </c>
      <c r="M355" s="45" t="s">
        <v>909</v>
      </c>
      <c r="N355" s="47"/>
      <c r="O355" s="48" t="n">
        <v>1</v>
      </c>
      <c r="P355" s="26" t="s">
        <v>28</v>
      </c>
      <c r="Q355" s="27"/>
    </row>
    <row r="356" customFormat="false" ht="86.55" hidden="false" customHeight="false" outlineLevel="0" collapsed="false">
      <c r="A356" s="45" t="s">
        <v>910</v>
      </c>
      <c r="B356" s="46" t="s">
        <v>36</v>
      </c>
      <c r="C356" s="46" t="n">
        <v>3</v>
      </c>
      <c r="D356" s="46" t="n">
        <v>378</v>
      </c>
      <c r="E356" s="46" t="n">
        <v>95</v>
      </c>
      <c r="F356" s="46" t="s">
        <v>852</v>
      </c>
      <c r="G356" s="46" t="s">
        <v>911</v>
      </c>
      <c r="H356" s="47" t="s">
        <v>912</v>
      </c>
      <c r="I356" s="46" t="n">
        <v>296</v>
      </c>
      <c r="J356" s="46" t="n">
        <v>613</v>
      </c>
      <c r="K356" s="46" t="n">
        <v>97</v>
      </c>
      <c r="L356" s="45" t="s">
        <v>166</v>
      </c>
      <c r="M356" s="45" t="s">
        <v>913</v>
      </c>
      <c r="N356" s="47" t="s">
        <v>807</v>
      </c>
      <c r="O356" s="48" t="n">
        <v>1</v>
      </c>
      <c r="P356" s="26" t="s">
        <v>28</v>
      </c>
      <c r="Q356" s="27"/>
    </row>
    <row r="357" customFormat="false" ht="86.55" hidden="false" customHeight="false" outlineLevel="0" collapsed="false">
      <c r="A357" s="45" t="s">
        <v>914</v>
      </c>
      <c r="B357" s="46" t="s">
        <v>36</v>
      </c>
      <c r="C357" s="46" t="n">
        <v>3</v>
      </c>
      <c r="D357" s="46" t="n">
        <v>378</v>
      </c>
      <c r="E357" s="46" t="n">
        <v>95</v>
      </c>
      <c r="F357" s="46" t="s">
        <v>852</v>
      </c>
      <c r="G357" s="46" t="s">
        <v>915</v>
      </c>
      <c r="H357" s="47" t="s">
        <v>916</v>
      </c>
      <c r="I357" s="46" t="n">
        <v>281</v>
      </c>
      <c r="J357" s="46" t="n">
        <v>613</v>
      </c>
      <c r="K357" s="46" t="n">
        <v>97</v>
      </c>
      <c r="L357" s="45" t="s">
        <v>186</v>
      </c>
      <c r="M357" s="45" t="s">
        <v>917</v>
      </c>
      <c r="N357" s="47" t="s">
        <v>918</v>
      </c>
      <c r="O357" s="48" t="n">
        <v>1</v>
      </c>
      <c r="P357" s="26" t="s">
        <v>28</v>
      </c>
      <c r="Q357" s="27"/>
    </row>
    <row r="358" customFormat="false" ht="86.55" hidden="false" customHeight="false" outlineLevel="0" collapsed="false">
      <c r="A358" s="45" t="s">
        <v>919</v>
      </c>
      <c r="B358" s="46" t="s">
        <v>36</v>
      </c>
      <c r="C358" s="46" t="n">
        <v>3</v>
      </c>
      <c r="D358" s="46" t="n">
        <v>378</v>
      </c>
      <c r="E358" s="46" t="n">
        <v>95</v>
      </c>
      <c r="F358" s="46" t="s">
        <v>852</v>
      </c>
      <c r="G358" s="46" t="s">
        <v>920</v>
      </c>
      <c r="H358" s="47" t="s">
        <v>921</v>
      </c>
      <c r="I358" s="46" t="n">
        <v>296</v>
      </c>
      <c r="J358" s="46" t="n">
        <v>631</v>
      </c>
      <c r="K358" s="46" t="n">
        <v>100</v>
      </c>
      <c r="L358" s="45" t="s">
        <v>186</v>
      </c>
      <c r="M358" s="45" t="s">
        <v>604</v>
      </c>
      <c r="N358" s="47" t="s">
        <v>763</v>
      </c>
      <c r="O358" s="48" t="n">
        <v>1</v>
      </c>
      <c r="P358" s="26" t="s">
        <v>28</v>
      </c>
      <c r="Q358" s="27"/>
    </row>
    <row r="359" customFormat="false" ht="86.55" hidden="false" customHeight="false" outlineLevel="0" collapsed="false">
      <c r="A359" s="45" t="s">
        <v>922</v>
      </c>
      <c r="B359" s="46" t="s">
        <v>36</v>
      </c>
      <c r="C359" s="46" t="n">
        <v>4</v>
      </c>
      <c r="D359" s="46" t="n">
        <v>389</v>
      </c>
      <c r="E359" s="46" t="n">
        <v>95</v>
      </c>
      <c r="F359" s="46" t="s">
        <v>852</v>
      </c>
      <c r="G359" s="46" t="s">
        <v>923</v>
      </c>
      <c r="H359" s="47" t="s">
        <v>924</v>
      </c>
      <c r="I359" s="46" t="n">
        <v>286</v>
      </c>
      <c r="J359" s="46" t="n">
        <v>631</v>
      </c>
      <c r="K359" s="46" t="n">
        <v>97</v>
      </c>
      <c r="L359" s="45" t="s">
        <v>186</v>
      </c>
      <c r="M359" s="45" t="s">
        <v>925</v>
      </c>
      <c r="N359" s="47"/>
      <c r="O359" s="48" t="n">
        <v>1</v>
      </c>
      <c r="P359" s="26" t="s">
        <v>28</v>
      </c>
      <c r="Q359" s="27"/>
    </row>
    <row r="360" customFormat="false" ht="100.7" hidden="false" customHeight="false" outlineLevel="0" collapsed="false">
      <c r="A360" s="45" t="s">
        <v>926</v>
      </c>
      <c r="B360" s="46" t="s">
        <v>36</v>
      </c>
      <c r="C360" s="46" t="n">
        <v>4</v>
      </c>
      <c r="D360" s="46" t="n">
        <v>389</v>
      </c>
      <c r="E360" s="46" t="n">
        <v>95</v>
      </c>
      <c r="F360" s="46" t="s">
        <v>852</v>
      </c>
      <c r="G360" s="46" t="s">
        <v>927</v>
      </c>
      <c r="H360" s="47" t="s">
        <v>928</v>
      </c>
      <c r="I360" s="46" t="n">
        <v>319</v>
      </c>
      <c r="J360" s="46" t="n">
        <v>653</v>
      </c>
      <c r="K360" s="46" t="n">
        <v>101</v>
      </c>
      <c r="L360" s="45" t="s">
        <v>179</v>
      </c>
      <c r="M360" s="45" t="s">
        <v>929</v>
      </c>
      <c r="N360" s="47"/>
      <c r="O360" s="48" t="n">
        <v>1</v>
      </c>
      <c r="P360" s="26" t="s">
        <v>28</v>
      </c>
      <c r="Q360" s="27"/>
    </row>
    <row r="361" customFormat="false" ht="100.7" hidden="false" customHeight="false" outlineLevel="0" collapsed="false">
      <c r="A361" s="45" t="s">
        <v>930</v>
      </c>
      <c r="B361" s="46" t="s">
        <v>36</v>
      </c>
      <c r="C361" s="46" t="n">
        <v>4</v>
      </c>
      <c r="D361" s="46" t="n">
        <v>389</v>
      </c>
      <c r="E361" s="46" t="n">
        <v>95</v>
      </c>
      <c r="F361" s="46" t="s">
        <v>852</v>
      </c>
      <c r="G361" s="46" t="s">
        <v>931</v>
      </c>
      <c r="H361" s="47" t="s">
        <v>932</v>
      </c>
      <c r="I361" s="46" t="n">
        <v>309</v>
      </c>
      <c r="J361" s="46" t="n">
        <v>661</v>
      </c>
      <c r="K361" s="46" t="n">
        <v>102</v>
      </c>
      <c r="L361" s="45" t="s">
        <v>179</v>
      </c>
      <c r="M361" s="45" t="s">
        <v>933</v>
      </c>
      <c r="N361" s="47" t="s">
        <v>757</v>
      </c>
      <c r="O361" s="48" t="n">
        <v>1</v>
      </c>
      <c r="P361" s="26" t="s">
        <v>28</v>
      </c>
      <c r="Q361" s="27"/>
    </row>
    <row r="362" customFormat="false" ht="100.7" hidden="false" customHeight="false" outlineLevel="0" collapsed="false">
      <c r="A362" s="45" t="s">
        <v>934</v>
      </c>
      <c r="B362" s="46" t="s">
        <v>36</v>
      </c>
      <c r="C362" s="46" t="n">
        <v>4</v>
      </c>
      <c r="D362" s="46" t="n">
        <v>389</v>
      </c>
      <c r="E362" s="46" t="n">
        <v>95</v>
      </c>
      <c r="F362" s="46" t="s">
        <v>852</v>
      </c>
      <c r="G362" s="46" t="s">
        <v>398</v>
      </c>
      <c r="H362" s="47" t="s">
        <v>935</v>
      </c>
      <c r="I362" s="46" t="n">
        <v>313</v>
      </c>
      <c r="J362" s="46" t="n">
        <v>665</v>
      </c>
      <c r="K362" s="46" t="n">
        <v>103</v>
      </c>
      <c r="L362" s="45" t="s">
        <v>152</v>
      </c>
      <c r="M362" s="45" t="s">
        <v>936</v>
      </c>
      <c r="N362" s="47" t="s">
        <v>873</v>
      </c>
      <c r="O362" s="48" t="n">
        <v>1</v>
      </c>
      <c r="P362" s="26" t="s">
        <v>28</v>
      </c>
      <c r="Q362" s="27"/>
    </row>
    <row r="363" customFormat="false" ht="100.7" hidden="false" customHeight="false" outlineLevel="0" collapsed="false">
      <c r="A363" s="45" t="s">
        <v>937</v>
      </c>
      <c r="B363" s="46" t="s">
        <v>36</v>
      </c>
      <c r="C363" s="46" t="n">
        <v>4</v>
      </c>
      <c r="D363" s="46" t="n">
        <v>389</v>
      </c>
      <c r="E363" s="46" t="n">
        <v>95</v>
      </c>
      <c r="F363" s="46" t="s">
        <v>852</v>
      </c>
      <c r="G363" s="46" t="s">
        <v>938</v>
      </c>
      <c r="H363" s="47" t="s">
        <v>939</v>
      </c>
      <c r="I363" s="46" t="n">
        <v>327</v>
      </c>
      <c r="J363" s="46" t="n">
        <v>682</v>
      </c>
      <c r="K363" s="46" t="n">
        <v>105</v>
      </c>
      <c r="L363" s="45" t="s">
        <v>159</v>
      </c>
      <c r="M363" s="45" t="s">
        <v>940</v>
      </c>
      <c r="N363" s="47"/>
      <c r="O363" s="48" t="n">
        <v>1</v>
      </c>
      <c r="P363" s="26" t="s">
        <v>28</v>
      </c>
      <c r="Q363" s="27"/>
    </row>
    <row r="364" customFormat="false" ht="100.7" hidden="false" customHeight="false" outlineLevel="0" collapsed="false">
      <c r="A364" s="45" t="s">
        <v>941</v>
      </c>
      <c r="B364" s="46" t="s">
        <v>36</v>
      </c>
      <c r="C364" s="46" t="n">
        <v>4</v>
      </c>
      <c r="D364" s="46" t="n">
        <v>389</v>
      </c>
      <c r="E364" s="46" t="n">
        <v>95</v>
      </c>
      <c r="F364" s="46" t="s">
        <v>852</v>
      </c>
      <c r="G364" s="46" t="s">
        <v>942</v>
      </c>
      <c r="H364" s="47" t="s">
        <v>943</v>
      </c>
      <c r="I364" s="46" t="n">
        <v>322</v>
      </c>
      <c r="J364" s="46" t="n">
        <v>689</v>
      </c>
      <c r="K364" s="46" t="n">
        <v>106</v>
      </c>
      <c r="L364" s="45" t="s">
        <v>166</v>
      </c>
      <c r="M364" s="45" t="s">
        <v>278</v>
      </c>
      <c r="N364" s="47" t="s">
        <v>753</v>
      </c>
      <c r="O364" s="48" t="n">
        <v>1</v>
      </c>
      <c r="P364" s="26" t="s">
        <v>28</v>
      </c>
      <c r="Q364" s="27"/>
    </row>
    <row r="365" customFormat="false" ht="100.7" hidden="false" customHeight="false" outlineLevel="0" collapsed="false">
      <c r="A365" s="45" t="s">
        <v>944</v>
      </c>
      <c r="B365" s="46" t="s">
        <v>36</v>
      </c>
      <c r="C365" s="46" t="n">
        <v>5</v>
      </c>
      <c r="D365" s="46" t="n">
        <v>400</v>
      </c>
      <c r="E365" s="46" t="n">
        <v>95</v>
      </c>
      <c r="F365" s="46" t="s">
        <v>852</v>
      </c>
      <c r="G365" s="46" t="s">
        <v>945</v>
      </c>
      <c r="H365" s="47" t="s">
        <v>946</v>
      </c>
      <c r="I365" s="46" t="n">
        <v>325</v>
      </c>
      <c r="J365" s="46" t="n">
        <v>699</v>
      </c>
      <c r="K365" s="46" t="n">
        <v>105</v>
      </c>
      <c r="L365" s="45" t="s">
        <v>152</v>
      </c>
      <c r="M365" s="45" t="s">
        <v>947</v>
      </c>
      <c r="N365" s="47"/>
      <c r="O365" s="48" t="n">
        <v>1</v>
      </c>
      <c r="P365" s="26" t="s">
        <v>28</v>
      </c>
      <c r="Q365" s="27"/>
    </row>
    <row r="366" customFormat="false" ht="100.7" hidden="false" customHeight="false" outlineLevel="0" collapsed="false">
      <c r="A366" s="45" t="s">
        <v>948</v>
      </c>
      <c r="B366" s="46" t="s">
        <v>36</v>
      </c>
      <c r="C366" s="46" t="n">
        <v>5</v>
      </c>
      <c r="D366" s="46" t="n">
        <v>400</v>
      </c>
      <c r="E366" s="46" t="n">
        <v>95</v>
      </c>
      <c r="F366" s="46" t="s">
        <v>852</v>
      </c>
      <c r="G366" s="46" t="s">
        <v>949</v>
      </c>
      <c r="H366" s="47" t="s">
        <v>950</v>
      </c>
      <c r="I366" s="46" t="n">
        <v>350</v>
      </c>
      <c r="J366" s="46" t="n">
        <v>735</v>
      </c>
      <c r="K366" s="46" t="n">
        <v>110</v>
      </c>
      <c r="L366" s="45" t="s">
        <v>159</v>
      </c>
      <c r="M366" s="45" t="s">
        <v>951</v>
      </c>
      <c r="N366" s="47"/>
      <c r="O366" s="48" t="n">
        <v>1</v>
      </c>
      <c r="P366" s="26" t="s">
        <v>28</v>
      </c>
      <c r="Q366" s="27"/>
    </row>
    <row r="367" customFormat="false" ht="100.7" hidden="false" customHeight="false" outlineLevel="0" collapsed="false">
      <c r="A367" s="45" t="s">
        <v>952</v>
      </c>
      <c r="B367" s="46" t="s">
        <v>36</v>
      </c>
      <c r="C367" s="46" t="n">
        <v>5</v>
      </c>
      <c r="D367" s="46" t="n">
        <v>400</v>
      </c>
      <c r="E367" s="46" t="n">
        <v>95</v>
      </c>
      <c r="F367" s="46" t="s">
        <v>852</v>
      </c>
      <c r="G367" s="46" t="s">
        <v>953</v>
      </c>
      <c r="H367" s="47" t="s">
        <v>954</v>
      </c>
      <c r="I367" s="46" t="n">
        <v>345</v>
      </c>
      <c r="J367" s="46" t="n">
        <v>735</v>
      </c>
      <c r="K367" s="46" t="n">
        <v>110</v>
      </c>
      <c r="L367" s="45" t="s">
        <v>152</v>
      </c>
      <c r="M367" s="45" t="s">
        <v>955</v>
      </c>
      <c r="N367" s="47" t="s">
        <v>801</v>
      </c>
      <c r="O367" s="48" t="n">
        <v>1</v>
      </c>
      <c r="P367" s="26" t="s">
        <v>28</v>
      </c>
      <c r="Q367" s="27"/>
    </row>
    <row r="368" customFormat="false" ht="112.65" hidden="false" customHeight="false" outlineLevel="0" collapsed="false">
      <c r="A368" s="45" t="s">
        <v>956</v>
      </c>
      <c r="B368" s="46" t="s">
        <v>36</v>
      </c>
      <c r="C368" s="46" t="n">
        <v>5</v>
      </c>
      <c r="D368" s="46" t="n">
        <v>400</v>
      </c>
      <c r="E368" s="46" t="n">
        <v>95</v>
      </c>
      <c r="F368" s="46" t="s">
        <v>852</v>
      </c>
      <c r="G368" s="46" t="s">
        <v>957</v>
      </c>
      <c r="H368" s="47" t="s">
        <v>958</v>
      </c>
      <c r="I368" s="46" t="n">
        <v>352</v>
      </c>
      <c r="J368" s="46" t="n">
        <v>742</v>
      </c>
      <c r="K368" s="46" t="n">
        <v>111</v>
      </c>
      <c r="L368" s="45" t="s">
        <v>152</v>
      </c>
      <c r="M368" s="45" t="s">
        <v>341</v>
      </c>
      <c r="N368" s="47"/>
      <c r="O368" s="48" t="n">
        <v>1</v>
      </c>
      <c r="P368" s="26" t="s">
        <v>28</v>
      </c>
      <c r="Q368" s="27"/>
    </row>
    <row r="369" customFormat="false" ht="114.9" hidden="false" customHeight="false" outlineLevel="0" collapsed="false">
      <c r="A369" s="45" t="s">
        <v>959</v>
      </c>
      <c r="B369" s="46" t="s">
        <v>36</v>
      </c>
      <c r="C369" s="46" t="n">
        <v>5</v>
      </c>
      <c r="D369" s="46" t="n">
        <v>400</v>
      </c>
      <c r="E369" s="46" t="n">
        <v>95</v>
      </c>
      <c r="F369" s="46" t="s">
        <v>852</v>
      </c>
      <c r="G369" s="46" t="s">
        <v>960</v>
      </c>
      <c r="H369" s="47" t="s">
        <v>961</v>
      </c>
      <c r="I369" s="46" t="n">
        <v>376</v>
      </c>
      <c r="J369" s="46" t="n">
        <v>785</v>
      </c>
      <c r="K369" s="46" t="n">
        <v>118</v>
      </c>
      <c r="L369" s="45" t="s">
        <v>166</v>
      </c>
      <c r="M369" s="45" t="s">
        <v>195</v>
      </c>
      <c r="N369" s="47" t="s">
        <v>962</v>
      </c>
      <c r="O369" s="48" t="n">
        <v>1</v>
      </c>
      <c r="P369" s="26" t="s">
        <v>28</v>
      </c>
      <c r="Q369" s="27"/>
    </row>
    <row r="370" customFormat="false" ht="114.9" hidden="false" customHeight="false" outlineLevel="0" collapsed="false">
      <c r="A370" s="45" t="s">
        <v>963</v>
      </c>
      <c r="B370" s="46" t="s">
        <v>36</v>
      </c>
      <c r="C370" s="46" t="n">
        <v>5</v>
      </c>
      <c r="D370" s="46" t="n">
        <v>400</v>
      </c>
      <c r="E370" s="46" t="n">
        <v>95</v>
      </c>
      <c r="F370" s="46" t="s">
        <v>852</v>
      </c>
      <c r="G370" s="46" t="s">
        <v>964</v>
      </c>
      <c r="H370" s="47" t="s">
        <v>965</v>
      </c>
      <c r="I370" s="46" t="n">
        <v>405</v>
      </c>
      <c r="J370" s="46" t="n">
        <v>857</v>
      </c>
      <c r="K370" s="46" t="n">
        <v>129</v>
      </c>
      <c r="L370" s="45" t="s">
        <v>186</v>
      </c>
      <c r="M370" s="45" t="s">
        <v>220</v>
      </c>
      <c r="N370" s="47" t="s">
        <v>763</v>
      </c>
      <c r="O370" s="48" t="n">
        <v>1</v>
      </c>
      <c r="P370" s="26" t="s">
        <v>28</v>
      </c>
      <c r="Q370" s="27"/>
    </row>
  </sheetData>
  <autoFilter ref="A1:Q370"/>
  <dataValidations count="1">
    <dataValidation allowBlank="true" errorStyle="stop" operator="between" showDropDown="false" showErrorMessage="false" showInputMessage="false" sqref="P2:P370" type="list">
      <formula1>"사용,빼기,고쳐서 사용"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2026-10-26T09:22:31Z</dcterms:created>
  <dc:creator>openpyxl</dc:creator>
  <dc:description/>
  <dc:language>en-US</dc:language>
  <cp:lastModifiedBy/>
  <dcterms:modified xsi:type="dcterms:W3CDTF">2026-10-26T09:22:32Z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